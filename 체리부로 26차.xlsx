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287.xml" ContentType="application/vnd.openxmlformats-officedocument.drawing+xml"/>
  <Override PartName="/xl/drawings/drawing288.xml" ContentType="application/vnd.openxmlformats-officedocument.drawing+xml"/>
  <Override PartName="/xl/drawings/drawing289.xml" ContentType="application/vnd.openxmlformats-officedocument.drawing+xml"/>
  <Override PartName="/xl/drawings/drawing290.xml" ContentType="application/vnd.openxmlformats-officedocument.drawing+xml"/>
  <Override PartName="/xl/drawings/drawing291.xml" ContentType="application/vnd.openxmlformats-officedocument.drawing+xml"/>
  <Override PartName="/xl/drawings/drawing292.xml" ContentType="application/vnd.openxmlformats-officedocument.drawing+xml"/>
  <Override PartName="/xl/drawings/drawing29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851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공암산성\Desktop\"/>
    </mc:Choice>
  </mc:AlternateContent>
  <x:bookViews>
    <x:workbookView xWindow="0" yWindow="0" windowWidth="12180" windowHeight="12705" tabRatio="871" firstSheet="6" activeTab="1"/>
  </x:bookViews>
  <x:sheets>
    <x:sheet name="표지" sheetId="1" r:id="rId4"/>
    <x:sheet name="접종" sheetId="2" r:id="rId5"/>
    <x:sheet name="1" sheetId="3" r:id="rId6"/>
    <x:sheet name="2" sheetId="4" r:id="rId7"/>
    <x:sheet name="3" sheetId="5" r:id="rId8"/>
    <x:sheet name="4" sheetId="6" r:id="rId9"/>
    <x:sheet name="5" sheetId="7" r:id="rId10"/>
    <x:sheet name="6" sheetId="8" r:id="rId11"/>
    <x:sheet name="명단" sheetId="9" r:id="rId12"/>
    <x:sheet name="일령" sheetId="10" r:id="rId13"/>
    <x:sheet name="공차" sheetId="11" r:id="rId14"/>
  </x:sheets>
  <x:definedNames>
    <x:definedName name="_xlnm._FilterDatabase" localSheetId="8" hidden="1">명단!$E$1:$E$28</x:definedName>
    <x:definedName name="_xlnm._FilterDatabase" hidden="1">#REF!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#REF!</x:definedName>
    <x:definedName name="_xlnm.Print_Area" localSheetId="0">표지!$B$1:$E$31</x:definedName>
    <x:definedName name="_xlnm.Print_Area" localSheetId="1">접종!$A$1:$G$30</x:definedName>
    <x:definedName name="_xlnm.Print_Area" localSheetId="2">'1'!$B$2:$L$37</x:definedName>
    <x:definedName name="_xlnm.Print_Area" localSheetId="3">'2'!$B$1:$L$37</x:definedName>
    <x:definedName name="_xlnm.Print_Area" localSheetId="4">'3'!$B$2:$L$37</x:definedName>
    <x:definedName name="_xlnm.Print_Area" localSheetId="5">'4'!$B$1:$L$37</x:definedName>
    <x:definedName name="_xlnm.Print_Area" localSheetId="6">'5'!$B$1:$L$37</x:definedName>
    <x:definedName name="_xlnm.Print_Area" localSheetId="7">'6'!$B$1:$L$37</x:definedName>
    <x:definedName name="_xlnm.Print_Area" localSheetId="8">명단!$B$1:$F$85</x:definedName>
    <x:definedName name="_xlnm.Print_Area" localSheetId="10">공차!$B$1:$J$36</x:definedName>
    <x:definedName name="_xlnm.Print_Titles">#REF!</x:definedName>
    <x:definedName name="_xlnm.Print_Titles">#REF!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<x:sst xmlns:r="http://schemas.openxmlformats.org/officeDocument/2006/relationships" xmlns:c="http://schemas.openxmlformats.org/drawingml/2006/chart" xmlns:x="http://schemas.openxmlformats.org/spreadsheetml/2006/main" count="998" uniqueCount="208">
  <x:si>
    <x:t>가축을 사육한 자가 위와 같이 절식을 실시하였음을 확인합니다.</x:t>
  </x:si>
  <x:si>
    <x:t>「축산물 위생관리법」 제12조의2제1항, 같은 법 시행규칙 제18조의2제1항에 따라 위와 같이 가축을도축장에 출하하기</x:t>
  </x:si>
  <x:si>
    <x:t>경남 합천군 용주면 공암길 245-260</x:t>
  </x:si>
  <x:si>
    <x:t xml:space="preserve">   전에 절식을 실시하였음을 확인합니다.</x:t>
  </x:si>
  <x:si>
    <x:t>공차</x:t>
  </x:si>
  <x:si>
    <x:t>계사</x:t>
  </x:si>
  <x:si>
    <x:t>1차</x:t>
  </x:si>
  <x:si>
    <x:t>중량</x:t>
  </x:si>
  <x:si>
    <x:t>가중치</x:t>
  </x:si>
  <x:si>
    <x:t>김종구</x:t>
  </x:si>
  <x:si>
    <x:t>김낙영</x:t>
  </x:si>
  <x:si>
    <x:t>인쇄</x:t>
  </x:si>
  <x:si>
    <x:t>3동</x:t>
  </x:si>
  <x:si>
    <x:t>7동</x:t>
  </x:si>
  <x:si>
    <x:t>기사</x:t>
  </x:si>
  <x:si>
    <x:t>소계</x:t>
  </x:si>
  <x:si>
    <x:t>송승원</x:t>
  </x:si>
  <x:si>
    <x:t>유후근</x:t>
  </x:si>
  <x:si>
    <x:t/>
  </x:si>
  <x:si>
    <x:t>2차</x:t>
  </x:si>
  <x:si>
    <x:t>오완수</x:t>
  </x:si>
  <x:si>
    <x:t>비고</x:t>
  </x:si>
  <x:si>
    <x:t>가스</x:t>
  </x:si>
  <x:si>
    <x:t>박영길</x:t>
  </x:si>
  <x:si>
    <x:t>김성용</x:t>
  </x:si>
  <x:si>
    <x:t>입추일</x:t>
  </x:si>
  <x:si>
    <x:t>8/7</x:t>
  </x:si>
  <x:si>
    <x:t>이병옥</x:t>
  </x:si>
  <x:si>
    <x:t>남세윤</x:t>
  </x:si>
  <x:si>
    <x:t>양승달</x:t>
  </x:si>
  <x:si>
    <x:t>2동</x:t>
  </x:si>
  <x:si>
    <x:t>박근우</x:t>
  </x:si>
  <x:si>
    <x:t>홍은택</x:t>
  </x:si>
  <x:si>
    <x:t>출하일</x:t>
  </x:si>
  <x:si>
    <x:t>김성훈</x:t>
  </x:si>
  <x:si>
    <x:t>전봉근</x:t>
  </x:si>
  <x:si>
    <x:t>최장열</x:t>
  </x:si>
  <x:si>
    <x:t>원해종</x:t>
  </x:si>
  <x:si>
    <x:t>장성조</x:t>
  </x:si>
  <x:si>
    <x:t>완료</x:t>
  </x:si>
  <x:si>
    <x:t>안자현</x:t>
  </x:si>
  <x:si>
    <x:t>김용규</x:t>
  </x:si>
  <x:si>
    <x:t>김기욱</x:t>
  </x:si>
  <x:si>
    <x:t>신동수</x:t>
  </x:si>
  <x:si>
    <x:t>남성현</x:t>
  </x:si>
  <x:si>
    <x:t>임재경</x:t>
  </x:si>
  <x:si>
    <x:t>임종웅</x:t>
  </x:si>
  <x:si>
    <x:t>박승렬</x:t>
  </x:si>
  <x:si>
    <x:t>심재응</x:t>
  </x:si>
  <x:si>
    <x:t>김은석</x:t>
  </x:si>
  <x:si>
    <x:t>차량</x:t>
  </x:si>
  <x:si>
    <x:t>허창영</x:t>
  </x:si>
  <x:si>
    <x:t>안준모</x:t>
  </x:si>
  <x:si>
    <x:t>엄정섭</x:t>
  </x:si>
  <x:si>
    <x:t>8동</x:t>
  </x:si>
  <x:si>
    <x:t>김상덕</x:t>
  </x:si>
  <x:si>
    <x:t>3차</x:t>
  </x:si>
  <x:si>
    <x:t>김성수</x:t>
  </x:si>
  <x:si>
    <x:t>총중량</x:t>
  </x:si>
  <x:si>
    <x:t>수</x:t>
  </x:si>
  <x:si>
    <x:t>김흥수</x:t>
  </x:si>
  <x:si>
    <x:t>정영천</x:t>
  </x:si>
  <x:si>
    <x:t>H.P</x:t>
  </x:si>
  <x:si>
    <x:t>총수량</x:t>
  </x:si>
  <x:si>
    <x:t>동</x:t>
  </x:si>
  <x:si>
    <x:t>양충환</x:t>
  </x:si>
  <x:si>
    <x:t>신공식</x:t>
  </x:si>
  <x:si>
    <x:t>6동</x:t>
  </x:si>
  <x:si>
    <x:t>정근하</x:t>
  </x:si>
  <x:si>
    <x:t>배승순</x:t>
  </x:si>
  <x:si>
    <x:t>김용태</x:t>
  </x:si>
  <x:si>
    <x:t>심우철</x:t>
  </x:si>
  <x:si>
    <x:t>주성돈</x:t>
  </x:si>
  <x:si>
    <x:t>기사명</x:t>
  </x:si>
  <x:si>
    <x:t>정윤영</x:t>
  </x:si>
  <x:si>
    <x:t>수수</x:t>
  </x:si>
  <x:si>
    <x:t>홍석희</x:t>
  </x:si>
  <x:si>
    <x:t>접수일</x:t>
  </x:si>
  <x:si>
    <x:t>이종봉</x:t>
  </x:si>
  <x:si>
    <x:t>김성삼</x:t>
  </x:si>
  <x:si>
    <x:t>이승준</x:t>
  </x:si>
  <x:si>
    <x:t>유성희</x:t>
  </x:si>
  <x:si>
    <x:t>육계</x:t>
  </x:si>
  <x:si>
    <x:t>강대영</x:t>
  </x:si>
  <x:si>
    <x:t>음수</x:t>
  </x:si>
  <x:si>
    <x:t>장진국</x:t>
  </x:si>
  <x:si>
    <x:t>차동준</x:t>
  </x:si>
  <x:si>
    <x:t>상차</x:t>
  </x:si>
  <x:si>
    <x:t>김창수</x:t>
  </x:si>
  <x:si>
    <x:t>강석호</x:t>
  </x:si>
  <x:si>
    <x:t>금보</x:t>
  </x:si>
  <x:si>
    <x:t>합계</x:t>
  </x:si>
  <x:si>
    <x:t>엄익수</x:t>
  </x:si>
  <x:si>
    <x:t>품명</x:t>
  </x:si>
  <x:si>
    <x:t>5동</x:t>
  </x:si>
  <x:si>
    <x:t>박현수</x:t>
  </x:si>
  <x:si>
    <x:t>김길식</x:t>
  </x:si>
  <x:si>
    <x:t>4동</x:t>
  </x:si>
  <x:si>
    <x:t>김법규</x:t>
  </x:si>
  <x:si>
    <x:t>1동</x:t>
  </x:si>
  <x:si>
    <x:t>이재철</x:t>
  </x:si>
  <x:si>
    <x:t>손길수</x:t>
  </x:si>
  <x:si>
    <x:t>소독</x:t>
  </x:si>
  <x:si>
    <x:t>일령</x:t>
  </x:si>
  <x:si>
    <x:t>평체</x:t>
  </x:si>
  <x:si>
    <x:t>순번</x:t>
  </x:si>
  <x:si>
    <x:t>4차</x:t>
  </x:si>
  <x:si>
    <x:t>이성재</x:t>
  </x:si>
  <x:si>
    <x:t>Kg</x:t>
  </x:si>
  <x:si>
    <x:t>송은욱</x:t>
  </x:si>
  <x:si>
    <x:t>홍월식</x:t>
  </x:si>
  <x:si>
    <x:t>염상혁</x:t>
  </x:si>
  <x:si>
    <x:t>왕상만</x:t>
  </x:si>
  <x:si>
    <x:t>김호찬</x:t>
  </x:si>
  <x:si>
    <x:t>소기복</x:t>
  </x:si>
  <x:si>
    <x:t>채문병</x:t>
  </x:si>
  <x:si>
    <x:t>윌푸드</x:t>
  </x:si>
  <x:si>
    <x:t>김주철</x:t>
  </x:si>
  <x:si>
    <x:t>김순천</x:t>
  </x:si>
  <x:si>
    <x:t>윤장열</x:t>
  </x:si>
  <x:si>
    <x:t>전대권</x:t>
  </x:si>
  <x:si>
    <x:t>이종래</x:t>
  </x:si>
  <x:si>
    <x:t>2/1</x:t>
  </x:si>
  <x:si>
    <x:t>김영길</x:t>
  </x:si>
  <x:si>
    <x:t>총수</x:t>
  </x:si>
  <x:si>
    <x:t>허계동</x:t>
  </x:si>
  <x:si>
    <x:t>청도</x:t>
  </x:si>
  <x:si>
    <x:t>노종석</x:t>
  </x:si>
  <x:si>
    <x:t>※ 절식 실시여부를 확인하기 위하여 도축검사의뢰에 따른 제출 서류입니다.</x:t>
  </x:si>
  <x:si>
    <x:r>
      <x:t xml:space="preserve">1접수번호 및 접수일은 도축장영업자가 작성합니다.
2. 가축의 종류는 소(한우ㆍ젖소ㆍ육우ㆍ수입소), 돼지, 닭, 오리 등으로 작성합니다.
3. 절식 시작 일시는가축을 도축장에 출하하기 전에 사료급여를 중지한 일시를작성합니다.
(예) 2016. 3. 23. 09:00
* 관련 규정 : 가축을 도축장에 출하하기 전 12시간 이상 절식(絶食)할 것. 다만, 가금류는 3시간 이상으로 하며, 물은 제외
</x:t>
    </x:r>
    <x:r>
      <mc:AlternateContent xmlns:mc="http://schemas.openxmlformats.org/markup-compatibility/2006">
        <mc:Choice xmlns:hs="http://schemas.haansoft.com/office/spreadsheet/8.0" Requires="hs">
          <x:rPr hs:extension="1">
            <x:rFont val="돋움"/>
            <x:sz val="9"/>
            <x:color rgb="ff000000"/>
            <x:b val="1"/>
            <hs:size val="100"/>
            <hs:ratio val="100"/>
            <hs:spacing val="0"/>
            <hs:offset val="0"/>
          </x:rPr>
        </mc:Choice>
        <mc:Fallback>
          <x:rPr>
            <x:rFont val="돋움"/>
            <x:sz val="9"/>
            <x:color rgb="ff000000"/>
            <x:b val="1"/>
          </x:rPr>
        </mc:Fallback>
      </mc:AlternateContent>
      <x:t>4. 절식 시작 일시는 가축을 사육한 자가 기재합니다.
5. 가축을 사육한 자와 가축을 도축장에 출하하는 자가 같은 경우에는 가축을 사육한 자가 모두 확인 서명합니다.
6. 가축을 사육한 자와 가축을 도축장에 출하하는 자가 다른 경우에는 반드시 각자 확인 서명합니다.
7. 계열화사업자의 경우 가축을 도축장에 출하하는 자는 농장관리 책임자 또는 담당자 등이 확인 서명합니다.</x:t>
    </x:r>
  </x:si>
  <x:si>
    <x:t xml:space="preserve">   상기 가금은 가축전염병예방법 제15조에 따라 예방접종 하였음을 확인합니다.</x:t>
  </x:si>
  <x:si>
    <x:t xml:space="preserve">확인자(소유자)등 </x:t>
  </x:si>
  <x:si>
    <x:t>가축의 종류
(품종)</x:t>
  </x:si>
  <x:si>
    <x:t>처리기간    즉시</x:t>
  </x:si>
  <x:si>
    <x:t>010-8643-8959,FAX(070)4015-3999</x:t>
  </x:si>
  <x:si>
    <x:t>분무</x:t>
  </x:si>
  <x:si>
    <x:t xml:space="preserve">윤 은 희    </x:t>
  </x:si>
  <x:si>
    <x:t>절식 시작 일시</x:t>
  </x:si>
  <x:si>
    <x:t>농    장    명</x:t>
  </x:si>
  <x:si>
    <x:t>(서명 또는 인)</x:t>
  </x:si>
  <x:si>
    <x:t xml:space="preserve">  공암산성  윤은희</x:t>
  </x:si>
  <x:si>
    <x:t>가축을 사육한 자</x:t>
  </x:si>
  <x:si>
    <x:t>농  장  명</x:t>
  </x:si>
  <x:si>
    <x:t>계량일시</x:t>
  </x:si>
  <x:si>
    <x:t>차량번호</x:t>
  </x:si>
  <x:si>
    <x:t>실 중 량</x:t>
  </x:si>
  <x:si>
    <x:t>농장고유번호</x:t>
  </x:si>
  <x:si>
    <x:t>전화번호</x:t>
  </x:si>
  <x:si>
    <x:t>계량증명서</x:t>
  </x:si>
  <x:si>
    <x:t>총 중 량</x:t>
  </x:si>
  <x:si>
    <x:t>가금의 종류</x:t>
  </x:si>
  <x:si>
    <x:t>입추수수</x:t>
  </x:si>
  <x:si>
    <x:t>제조업체명</x:t>
  </x:si>
  <x:si>
    <x:t>대창가스</x:t>
  </x:si>
  <x:si>
    <x:t>접 종 횟 수</x:t>
  </x:si>
  <x:si>
    <x:t>사 료 량</x:t>
  </x:si>
  <x:si>
    <x:t>접종일자</x:t>
  </x:si>
  <x:si>
    <x:t>윤  은  희</x:t>
  </x:si>
  <x:si>
    <x:t>예방약종류</x:t>
  </x:si>
  <x:si>
    <x:t>MMLQL</x:t>
  </x:si>
  <x:si>
    <x:t>접종수수</x:t>
  </x:si>
  <x:si>
    <x:t>닭 (육계)</x:t>
  </x:si>
  <x:si>
    <x:t>농장식별번호</x:t>
  </x:si>
  <x:si>
    <x:t>출  하  처</x:t>
  </x:si>
  <x:si>
    <x:t>대 표 자</x:t>
  </x:si>
  <x:si>
    <x:t>평균체중</x:t>
  </x:si>
  <x:si>
    <x:t>사육일수</x:t>
  </x:si>
  <x:si>
    <x:t>출하예정일</x:t>
  </x:si>
  <x:si>
    <x:t>공차중량</x:t>
  </x:si>
  <x:si>
    <x:t>주민등록번호</x:t>
  </x:si>
  <x:si>
    <x:t>요 구 율</x:t>
  </x:si>
  <x:si>
    <x:t>소  재  지</x:t>
  </x:si>
  <x:si>
    <x:t>(제출용)</x:t>
  </x:si>
  <x:si>
    <x:t>작 성 방 법</x:t>
  </x:si>
  <x:si>
    <x:t xml:space="preserve">절식 확인서 </x:t>
  </x:si>
  <x:si>
    <x:t>출하중량</x:t>
  </x:si>
  <x:si>
    <x:t>공암산성</x:t>
  </x:si>
  <x:si>
    <x:t>접종방법</x:t>
  </x:si>
  <x:si>
    <x:t>공 암 산 성</x:t>
  </x:si>
  <x:si>
    <x:t>접수번호</x:t>
  </x:si>
  <x:si>
    <x:t>체리부로</x:t>
  </x:si>
  <x:si>
    <x:t>육 성 율</x:t>
  </x:si>
  <x:si>
    <x:t>거 래 처</x:t>
  </x:si>
  <x:si>
    <x:t>신청내용</x:t>
  </x:si>
  <x:si>
    <x:t>공차 계량</x:t>
  </x:si>
  <x:si>
    <x:t>출하수수</x:t>
  </x:si>
  <x:si>
    <x:t>생산지수</x:t>
  </x:si>
  <x:si>
    <x:t>010-8643-8959</x:t>
  </x:si>
  <x:si>
    <x:t>671103-2332825</x:t>
  </x:si>
  <x:si>
    <x:t>(010) 4517-5285</x:t>
  </x:si>
  <x:si>
    <x:t>가축을 도축장에 출하하는 자</x:t>
  </x:si>
  <x:si>
    <x:t xml:space="preserve">공암산성   윤은희　　　</x:t>
  </x:si>
  <x:si>
    <x:t>(010) 8402-4426</x:t>
  </x:si>
  <x:si>
    <x:t xml:space="preserve">체리부로 출하 연락처  </x:t>
  </x:si>
  <x:si>
    <x:t>(010) 4230-0338</x:t>
  </x:si>
  <x:si>
    <x:t>(010) 5468-9331</x:t>
  </x:si>
  <x:si>
    <x:t>뉴 캣 슬 병  예 방  접 종  확 인 서</x:t>
  </x:si>
  <x:si>
    <x:t>체리부로 23회차  출하 집계표</x:t>
  </x:si>
  <x:si>
    <x:t>상기와 같이 계량하였음을 증명함.</x:t>
  </x:si>
  <x:si>
    <x:t xml:space="preserve"> (주) 체리부로 도축장   귀하</x:t>
  </x:si>
  <x:si>
    <x:t xml:space="preserve">        년    월    일</x:t>
  </x:si>
  <x:si>
    <x:t>고려B&amp;P</x:t>
  </x:si>
  <x:si>
    <x:t>Check ND</x:t>
  </x:si>
  <x:si>
    <x:r>
      <x:t>BN++</x:t>
    </x:r>
  </x:si>
  <x:si>
    <x:t>(주)코미팜</x:t>
  </x:si>
  <x:si>
    <x:t>2026년 01월 22일 15시</x:t>
  </x:si>
  <x:si>
    <x:t>체리부로 26회차  (82.8회차)</x:t>
  </x:si>
  <x:si>
    <x:t>체리부로 26회차  출하 집계표</x:t>
  </x:si>
</x:sst>
</file>

<file path=xl/styles.xml><?xml version="1.0" encoding="utf-8"?>
<x:styleSheet xmlns:r="http://schemas.openxmlformats.org/officeDocument/2006/relationships" xmlns:c="http://schemas.openxmlformats.org/drawingml/2006/chart" xmlns:x="http://schemas.openxmlformats.org/spreadsheetml/2006/main">
  <x:numFmts count="15">
    <x:numFmt numFmtId="164" formatCode="#,##0_ "/>
    <x:numFmt numFmtId="165" formatCode="#,##0_);[Red]\(#,##0\)"/>
    <x:numFmt numFmtId="166" formatCode="0.00_ "/>
    <x:numFmt numFmtId="167" formatCode="0.000_ "/>
    <x:numFmt numFmtId="168" formatCode="yyyy&quot;/&quot;m&quot;/&quot;d;@"/>
    <x:numFmt numFmtId="169" formatCode="yyyy&quot;년&quot;\ m&quot;월&quot;\ d&quot;일&quot;;@"/>
    <x:numFmt numFmtId="170" formatCode="[&lt;=1000000]####\-####;\(0##\)\ ####\-####"/>
    <x:numFmt numFmtId="171" formatCode="yyyy\.\ m\.\ d\.;@"/>
    <x:numFmt numFmtId="172" formatCode="#,##0.00_ "/>
    <x:numFmt numFmtId="173" formatCode="#,##0.0_ "/>
    <x:numFmt numFmtId="174" formatCode="0_ "/>
    <x:numFmt numFmtId="175" formatCode="yy\/mm\/dd"/>
    <x:numFmt numFmtId="176" formatCode="[$-412]yyyy\-m\-d\ AM/PM\ h:mm;@"/>
    <x:numFmt numFmtId="177" formatCode="0.0_);\(0.0\)"/>
    <x:numFmt numFmtId="178" formatCode="0_);\(0\)"/>
  </x:numFmts>
  <x:fonts count="41">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6"/>
      <x:color rgb="ff000000"/>
      <x:b val="1"/>
    </x:font>
    <x:font>
      <x:name val="맑은 고딕"/>
      <x:sz val="16"/>
      <x:color rgb="ff000000"/>
    </x:font>
    <x:font>
      <x:name val="맑은 고딕"/>
      <x:sz val="12"/>
      <x:color rgb="ff000000"/>
      <x:b val="1"/>
    </x:font>
    <x:font>
      <x:name val="맑은 고딕"/>
      <x:sz val="10"/>
      <x:color rgb="ff000000"/>
      <x:b val="1"/>
    </x:font>
    <x:font>
      <x:name val="굴림체"/>
      <x:sz val="11"/>
      <x:color rgb="ff000000"/>
    </x:fo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돋움"/>
          <x:sz val="11"/>
          <x:color rgb="ff000000"/>
          <x:b val="1"/>
          <hs:size val="100"/>
          <hs:ratio val="100"/>
          <hs:spacing val="0"/>
          <hs:offset val="0"/>
        </x:font>
      </mc:Choice>
      <mc:Fallback>
        <x:font>
          <x:name val="돋움"/>
          <x:sz val="11"/>
          <x:color rgb="ff000000"/>
          <x:b val="1"/>
        </x:font>
      </mc:Fallback>
    </mc:AlternateContent>
    <mc:AlternateContent xmlns:mc="http://schemas.openxmlformats.org/markup-compatibility/2006">
      <mc:Choice xmlns:hs="http://schemas.haansoft.com/office/spreadsheet/8.0" Requires="hs">
        <x:font hs:extension="1">
          <x:name val="돋움"/>
          <x:sz val="9"/>
          <x:color rgb="ff000000"/>
          <hs:size val="100"/>
          <hs:ratio val="100"/>
          <hs:spacing val="0"/>
          <hs:offset val="0"/>
        </x:font>
      </mc:Choice>
      <mc:Fallback>
        <x:font>
          <x:name val="돋움"/>
          <x:sz val="9"/>
          <x:color rgb="ff000000"/>
        </x:font>
      </mc:Fallback>
    </mc:AlternateContent>
    <mc:AlternateContent xmlns:mc="http://schemas.openxmlformats.org/markup-compatibility/2006">
      <mc:Choice xmlns:hs="http://schemas.haansoft.com/office/spreadsheet/8.0" Requires="hs">
        <x:font hs:extension="1">
          <x:name val="굴림"/>
          <x:sz val="11"/>
          <x:color rgb="ff000000"/>
          <hs:size val="100"/>
          <hs:ratio val="100"/>
          <hs:spacing val="0"/>
          <hs:offset val="0"/>
        </x:font>
      </mc:Choice>
      <mc:Fallback>
        <x:font>
          <x:name val="굴림"/>
          <x:sz val="11"/>
          <x:color rgb="ff000000"/>
        </x:font>
      </mc:Fallback>
    </mc:AlternateContent>
    <mc:AlternateContent xmlns:mc="http://schemas.openxmlformats.org/markup-compatibility/2006">
      <mc:Choice xmlns:hs="http://schemas.haansoft.com/office/spreadsheet/8.0" Requires="hs">
        <x:font hs:extension="1">
          <x:name val="Arial"/>
          <x:sz val="16"/>
          <x:color rgb="ffffffff"/>
          <x:b val="1"/>
          <hs:size val="100"/>
          <hs:ratio val="100"/>
          <hs:spacing val="0"/>
          <hs:offset val="0"/>
        </x:font>
      </mc:Choice>
      <mc:Fallback>
        <x:font>
          <x:name val="Arial"/>
          <x:sz val="16"/>
          <x:color rgb="ffffffff"/>
          <x:b val="1"/>
        </x:font>
      </mc:Fallback>
    </mc:AlternateContent>
    <mc:AlternateContent xmlns:mc="http://schemas.openxmlformats.org/markup-compatibility/2006">
      <mc:Choice xmlns:hs="http://schemas.haansoft.com/office/spreadsheet/8.0" Requires="hs">
        <x:font hs:extension="1">
          <x:name val="맑은 고딕"/>
          <x:sz val="15"/>
          <x:color rgb="ff000000"/>
          <hs:size val="100"/>
          <hs:ratio val="100"/>
          <hs:spacing val="0"/>
          <hs:offset val="0"/>
        </x:font>
      </mc:Choice>
      <mc:Fallback>
        <x:font>
          <x:name val="맑은 고딕"/>
          <x:sz val="15"/>
          <x:color rgb="ff000000"/>
        </x:font>
      </mc:Fallback>
    </mc:AlternateContent>
    <mc:AlternateContent xmlns:mc="http://schemas.openxmlformats.org/markup-compatibility/2006">
      <mc:Choice xmlns:hs="http://schemas.haansoft.com/office/spreadsheet/8.0" Requires="hs">
        <x:font hs:extension="1">
          <x:name val="맑은 고딕"/>
          <x:sz val="15"/>
          <x:color rgb="ff000000"/>
          <x:b val="1"/>
          <hs:size val="100"/>
          <hs:ratio val="100"/>
          <hs:spacing val="0"/>
          <hs:offset val="0"/>
        </x:font>
      </mc:Choice>
      <mc:Fallback>
        <x:font>
          <x:name val="맑은 고딕"/>
          <x:sz val="15"/>
          <x:color rgb="ff000000"/>
          <x:b val="1"/>
        </x:font>
      </mc:Fallback>
    </mc:AlternateContent>
    <mc:AlternateContent xmlns:mc="http://schemas.openxmlformats.org/markup-compatibility/2006">
      <mc:Choice xmlns:hs="http://schemas.haansoft.com/office/spreadsheet/8.0" Requires="hs">
        <x:font hs:extension="1">
          <x:name val="맑은 고딕"/>
          <x:sz val="18"/>
          <x:color rgb="ff000000"/>
          <hs:size val="100"/>
          <hs:ratio val="100"/>
          <hs:spacing val="0"/>
          <hs:offset val="0"/>
        </x:font>
      </mc:Choice>
      <mc:Fallback>
        <x:font>
          <x:name val="맑은 고딕"/>
          <x:sz val="18"/>
          <x:color rgb="ff000000"/>
        </x:font>
      </mc:Fallback>
    </mc:AlternateContent>
    <mc:AlternateContent xmlns:mc="http://schemas.openxmlformats.org/markup-compatibility/2006">
      <mc:Choice xmlns:hs="http://schemas.haansoft.com/office/spreadsheet/8.0" Requires="hs">
        <x:font hs:extension="1">
          <x:name val="맑은 고딕"/>
          <x:sz val="12"/>
          <x:color rgb="ff000000"/>
          <hs:size val="100"/>
          <hs:ratio val="100"/>
          <hs:spacing val="0"/>
          <hs:offset val="0"/>
        </x:font>
      </mc:Choice>
      <mc:Fallback>
        <x:font>
          <x:name val="맑은 고딕"/>
          <x:sz val="12"/>
          <x:color rgb="ff000000"/>
        </x:font>
      </mc:Fallback>
    </mc:AlternateContent>
    <mc:AlternateContent xmlns:mc="http://schemas.openxmlformats.org/markup-compatibility/2006">
      <mc:Choice xmlns:hs="http://schemas.haansoft.com/office/spreadsheet/8.0" Requires="hs">
        <x:font hs:extension="1">
          <x:name val="맑은 고딕"/>
          <x:sz val="13"/>
          <x:color rgb="ff000000"/>
          <hs:size val="100"/>
          <hs:ratio val="100"/>
          <hs:spacing val="0"/>
          <hs:offset val="0"/>
        </x:font>
      </mc:Choice>
      <mc:Fallback>
        <x:font>
          <x:name val="맑은 고딕"/>
          <x:sz val="13"/>
          <x:color rgb="ff000000"/>
        </x:font>
      </mc:Fallback>
    </mc:AlternateContent>
    <mc:AlternateContent xmlns:mc="http://schemas.openxmlformats.org/markup-compatibility/2006">
      <mc:Choice xmlns:hs="http://schemas.haansoft.com/office/spreadsheet/8.0" Requires="hs">
        <x:font hs:extension="1">
          <x:name val="맑은 고딕"/>
          <x:sz val="17"/>
          <x:color rgb="ff000000"/>
          <hs:size val="100"/>
          <hs:ratio val="100"/>
          <hs:spacing val="0"/>
          <hs:offset val="0"/>
        </x:font>
      </mc:Choice>
      <mc:Fallback>
        <x:font>
          <x:name val="맑은 고딕"/>
          <x:sz val="17"/>
          <x:color rgb="ff000000"/>
        </x:font>
      </mc:Fallback>
    </mc:AlternateContent>
    <mc:AlternateContent xmlns:mc="http://schemas.openxmlformats.org/markup-compatibility/2006">
      <mc:Choice xmlns:hs="http://schemas.haansoft.com/office/spreadsheet/8.0" Requires="hs">
        <x:font hs:extension="1">
          <x:name val="맑은 고딕"/>
          <x:sz val="14"/>
          <x:color rgb="ff000000"/>
          <hs:size val="100"/>
          <hs:ratio val="100"/>
          <hs:spacing val="0"/>
          <hs:offset val="0"/>
        </x:font>
      </mc:Choice>
      <mc:Fallback>
        <x:font>
          <x:name val="맑은 고딕"/>
          <x:sz val="14"/>
          <x:color rgb="ff000000"/>
        </x:font>
      </mc:Fallback>
    </mc:AlternateContent>
    <mc:AlternateContent xmlns:mc="http://schemas.openxmlformats.org/markup-compatibility/2006">
      <mc:Choice xmlns:hs="http://schemas.haansoft.com/office/spreadsheet/8.0" Requires="hs">
        <x:font hs:extension="1">
          <x:name val="맑은 고딕"/>
          <x:sz val="14"/>
          <x:color rgb="ff000000"/>
          <x:b val="1"/>
          <hs:size val="100"/>
          <hs:ratio val="100"/>
          <hs:spacing val="0"/>
          <hs:offset val="0"/>
        </x:font>
      </mc:Choice>
      <mc:Fallback>
        <x:font>
          <x:name val="맑은 고딕"/>
          <x:sz val="14"/>
          <x:color rgb="ff000000"/>
          <x:b val="1"/>
        </x:font>
      </mc:Fallback>
    </mc:AlternateContent>
    <mc:AlternateContent xmlns:mc="http://schemas.openxmlformats.org/markup-compatibility/2006">
      <mc:Choice xmlns:hs="http://schemas.haansoft.com/office/spreadsheet/8.0" Requires="hs">
        <x:font hs:extension="1">
          <x:name val="맑은 고딕"/>
          <x:sz val="13"/>
          <x:color rgb="ff000000"/>
          <x:b val="1"/>
          <hs:size val="100"/>
          <hs:ratio val="100"/>
          <hs:spacing val="0"/>
          <hs:offset val="0"/>
        </x:font>
      </mc:Choice>
      <mc:Fallback>
        <x:font>
          <x:name val="맑은 고딕"/>
          <x:sz val="13"/>
          <x:color rgb="ff000000"/>
          <x:b val="1"/>
        </x:font>
      </mc:Fallback>
    </mc:AlternateContent>
    <mc:AlternateContent xmlns:mc="http://schemas.openxmlformats.org/markup-compatibility/2006">
      <mc:Choice xmlns:hs="http://schemas.haansoft.com/office/spreadsheet/8.0" Requires="hs">
        <x:font hs:extension="1">
          <x:name val="맑은 고딕"/>
          <x:sz val="18"/>
          <x:color rgb="ff000000"/>
          <x:b val="1"/>
          <hs:size val="100"/>
          <hs:ratio val="100"/>
          <hs:spacing val="0"/>
          <hs:offset val="0"/>
        </x:font>
      </mc:Choice>
      <mc:Fallback>
        <x:font>
          <x:name val="맑은 고딕"/>
          <x:sz val="18"/>
          <x:color rgb="ff000000"/>
          <x:b val="1"/>
        </x:font>
      </mc:Fallback>
    </mc:AlternateContent>
    <mc:AlternateContent xmlns:mc="http://schemas.openxmlformats.org/markup-compatibility/2006">
      <mc:Choice xmlns:hs="http://schemas.haansoft.com/office/spreadsheet/8.0" Requires="hs">
        <x:font hs:extension="1">
          <x:name val="굴림체"/>
          <x:sz val="18"/>
          <x:color rgb="ff000000"/>
          <x:b val="1"/>
          <hs:size val="100"/>
          <hs:ratio val="100"/>
          <hs:spacing val="0"/>
          <hs:offset val="0"/>
        </x:font>
      </mc:Choice>
      <mc:Fallback>
        <x:font>
          <x:name val="굴림체"/>
          <x:sz val="18"/>
          <x:color rgb="ff000000"/>
          <x:b val="1"/>
        </x:font>
      </mc:Fallback>
    </mc:AlternateContent>
    <mc:AlternateContent xmlns:mc="http://schemas.openxmlformats.org/markup-compatibility/2006">
      <mc:Choice xmlns:hs="http://schemas.haansoft.com/office/spreadsheet/8.0" Requires="hs">
        <x:font hs:extension="1">
          <x:name val="돋움"/>
          <x:sz val="17"/>
          <x:color rgb="ff000000"/>
          <x:b val="1"/>
          <hs:size val="100"/>
          <hs:ratio val="100"/>
          <hs:spacing val="0"/>
          <hs:offset val="0"/>
        </x:font>
      </mc:Choice>
      <mc:Fallback>
        <x:font>
          <x:name val="돋움"/>
          <x:sz val="17"/>
          <x:color rgb="ff000000"/>
          <x:b val="1"/>
        </x:font>
      </mc:Fallback>
    </mc:AlternateContent>
    <mc:AlternateContent xmlns:mc="http://schemas.openxmlformats.org/markup-compatibility/2006">
      <mc:Choice xmlns:hs="http://schemas.haansoft.com/office/spreadsheet/8.0" Requires="hs">
        <x:font hs:extension="1">
          <x:name val="돋움"/>
          <x:sz val="8"/>
          <x:color rgb="ff000000"/>
          <hs:size val="100"/>
          <hs:ratio val="100"/>
          <hs:spacing val="0"/>
          <hs:offset val="0"/>
        </x:font>
      </mc:Choice>
      <mc:Fallback>
        <x:font>
          <x:name val="돋움"/>
          <x:sz val="8"/>
          <x:color rgb="ff000000"/>
        </x:font>
      </mc:Fallback>
    </mc:AlternateContent>
    <mc:AlternateContent xmlns:mc="http://schemas.openxmlformats.org/markup-compatibility/2006">
      <mc:Choice xmlns:hs="http://schemas.haansoft.com/office/spreadsheet/8.0" Requires="hs">
        <x:font hs:extension="1">
          <x:name val="돋움"/>
          <x:sz val="11"/>
          <x:color rgb="ff000000"/>
          <hs:size val="100"/>
          <hs:ratio val="100"/>
          <hs:spacing val="0"/>
          <hs:offset val="0"/>
        </x:font>
      </mc:Choice>
      <mc:Fallback>
        <x:font>
          <x:name val="돋움"/>
          <x:sz val="11"/>
          <x:color rgb="ff000000"/>
        </x:font>
      </mc:Fallback>
    </mc:AlternateConte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굴림"/>
          <x:sz val="11"/>
          <x:color rgb="ff000000"/>
          <x:b val="1"/>
          <hs:size val="100"/>
          <hs:ratio val="100"/>
          <hs:spacing val="0"/>
          <hs:offset val="0"/>
        </x:font>
      </mc:Choice>
      <mc:Fallback>
        <x:font>
          <x:name val="굴림"/>
          <x:sz val="11"/>
          <x:color rgb="ff000000"/>
          <x:b val="1"/>
        </x:font>
      </mc:Fallback>
    </mc:AlternateContent>
    <mc:AlternateContent xmlns:mc="http://schemas.openxmlformats.org/markup-compatibility/2006">
      <mc:Choice xmlns:hs="http://schemas.haansoft.com/office/spreadsheet/8.0" Requires="hs">
        <x:font hs:extension="1">
          <x:name val="굴림"/>
          <x:sz val="10"/>
          <x:color rgb="ff000000"/>
          <x:b val="1"/>
          <hs:size val="100"/>
          <hs:ratio val="100"/>
          <hs:spacing val="0"/>
          <hs:offset val="0"/>
        </x:font>
      </mc:Choice>
      <mc:Fallback>
        <x:font>
          <x:name val="굴림"/>
          <x:sz val="10"/>
          <x:color rgb="ff000000"/>
          <x:b val="1"/>
        </x:font>
      </mc:Fallback>
    </mc:AlternateContent>
    <mc:AlternateContent xmlns:mc="http://schemas.openxmlformats.org/markup-compatibility/2006">
      <mc:Choice xmlns:hs="http://schemas.haansoft.com/office/spreadsheet/8.0" Requires="hs">
        <x:font hs:extension="1">
          <x:name val="돋움"/>
          <x:sz val="10"/>
          <x:color rgb="ff000000"/>
          <hs:size val="100"/>
          <hs:ratio val="100"/>
          <hs:spacing val="0"/>
          <hs:offset val="0"/>
        </x:font>
      </mc:Choice>
      <mc:Fallback>
        <x:font>
          <x:name val="돋움"/>
          <x:sz val="10"/>
          <x:color rgb="ff000000"/>
        </x:font>
      </mc:Fallback>
    </mc:AlternateContent>
    <mc:AlternateContent xmlns:mc="http://schemas.openxmlformats.org/markup-compatibility/2006">
      <mc:Choice xmlns:hs="http://schemas.haansoft.com/office/spreadsheet/8.0" Requires="hs">
        <x:font hs:extension="1">
          <x:name val="돋움"/>
          <x:sz val="10"/>
          <x:color rgb="ff000000"/>
          <x:b val="1"/>
          <x:u/>
          <hs:underlineType val="1"/>
          <hs:underlineShape val="solid"/>
          <hs:underlineColor rgb="ff000000"/>
          <hs:size val="100"/>
          <hs:ratio val="100"/>
          <hs:spacing val="0"/>
          <hs:offset val="0"/>
        </x:font>
      </mc:Choice>
      <mc:Fallback>
        <x:font>
          <x:name val="돋움"/>
          <x:sz val="10"/>
          <x:color rgb="ff000000"/>
          <x:b val="1"/>
          <x:u/>
        </x:font>
      </mc:Fallback>
    </mc:AlternateContent>
    <mc:AlternateContent xmlns:mc="http://schemas.openxmlformats.org/markup-compatibility/2006">
      <mc:Choice xmlns:hs="http://schemas.haansoft.com/office/spreadsheet/8.0" Requires="hs">
        <x:font hs:extension="1">
          <x:name val="돋움"/>
          <x:sz val="10"/>
          <x:color rgb="ff000000"/>
          <x:u/>
          <hs:underlineType val="1"/>
          <hs:underlineShape val="solid"/>
          <hs:underlineColor rgb="ff000000"/>
          <hs:size val="100"/>
          <hs:ratio val="100"/>
          <hs:spacing val="0"/>
          <hs:offset val="0"/>
        </x:font>
      </mc:Choice>
      <mc:Fallback>
        <x:font>
          <x:name val="돋움"/>
          <x:sz val="10"/>
          <x:color rgb="ff000000"/>
          <x:u/>
        </x:font>
      </mc:Fallback>
    </mc:AlternateContent>
    <mc:AlternateContent xmlns:mc="http://schemas.openxmlformats.org/markup-compatibility/2006">
      <mc:Choice xmlns:hs="http://schemas.haansoft.com/office/spreadsheet/8.0" Requires="hs">
        <x:font hs:extension="1">
          <x:name val="돋움"/>
          <x:sz val="12"/>
          <x:color rgb="ff000000"/>
          <x:b val="1"/>
          <hs:size val="100"/>
          <hs:ratio val="100"/>
          <hs:spacing val="0"/>
          <hs:offset val="0"/>
        </x:font>
      </mc:Choice>
      <mc:Fallback>
        <x:font>
          <x:name val="돋움"/>
          <x:sz val="12"/>
          <x:color rgb="ff000000"/>
          <x:b val="1"/>
        </x:font>
      </mc:Fallback>
    </mc:AlternateContent>
    <mc:AlternateContent xmlns:mc="http://schemas.openxmlformats.org/markup-compatibility/2006">
      <mc:Choice xmlns:hs="http://schemas.haansoft.com/office/spreadsheet/8.0" Requires="hs">
        <x:font hs:extension="1">
          <x:name val="맑은 고딕"/>
          <x:sz val="9"/>
          <x:color rgb="ff000000"/>
          <hs:size val="100"/>
          <hs:ratio val="100"/>
          <hs:spacing val="0"/>
          <hs:offset val="0"/>
        </x:font>
      </mc:Choice>
      <mc:Fallback>
        <x:font>
          <x:name val="맑은 고딕"/>
          <x:sz val="9"/>
          <x:color rgb="ff000000"/>
        </x:font>
      </mc:Fallback>
    </mc:AlternateContent>
    <mc:AlternateContent xmlns:mc="http://schemas.openxmlformats.org/markup-compatibility/2006">
      <mc:Choice xmlns:hs="http://schemas.haansoft.com/office/spreadsheet/8.0" Requires="hs">
        <x:font hs:extension="1">
          <x:name val="맑은 고딕"/>
          <x:sz val="17"/>
          <x:color rgb="ff000000"/>
          <x:u/>
          <hs:underlineType val="1"/>
          <hs:underlineShape val="solid"/>
          <hs:underlineColor rgb="ff000000"/>
          <hs:size val="100"/>
          <hs:ratio val="100"/>
          <hs:spacing val="0"/>
          <hs:offset val="0"/>
        </x:font>
      </mc:Choice>
      <mc:Fallback>
        <x:font>
          <x:name val="맑은 고딕"/>
          <x:sz val="17"/>
          <x:color rgb="ff000000"/>
          <x:u/>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돋움"/>
          <x:sz val="9"/>
          <x:color rgb="ff000000"/>
          <x:b val="1"/>
          <hs:size val="100"/>
          <hs:ratio val="100"/>
          <hs:spacing val="0"/>
          <hs:offset val="0"/>
        </x:font>
      </mc:Choice>
      <mc:Fallback>
        <x:font>
          <x:name val="돋움"/>
          <x:sz val="9"/>
          <x:color rgb="ff000000"/>
          <x:b val="1"/>
        </x:font>
      </mc:Fallback>
    </mc:AlternateContent>
  </x:fonts>
  <x:fills count="5">
    <x:fill>
      <x:patternFill patternType="none"/>
    </x:fill>
    <x:fill>
      <x:patternFill patternType="gray125"/>
    </x:fill>
    <x:fill>
      <x:patternFill patternType="solid">
        <x:fgColor rgb="ffe6eef7"/>
        <x:bgColor indexed="64"/>
      </x:patternFill>
    </x:fill>
    <x:fill>
      <x:patternFill patternType="solid">
        <x:fgColor rgb="ffbbbbbb"/>
        <x:bgColor indexed="64"/>
      </x:patternFill>
    </x:fill>
    <x:fill>
      <x:patternFill patternType="solid">
        <x:fgColor rgb="ffffe7d8"/>
        <x:bgColor indexed="64"/>
      </x:patternFill>
    </x:fill>
  </x:fills>
  <x:borders count="25">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
      <x:left style="thin">
        <x:color auto="1"/>
      </x:left>
      <x:right style="thin">
        <x:color auto="1"/>
      </x:right>
      <x:top>
        <x:color auto="1"/>
      </x:top>
      <x:bottom style="thin">
        <x:color auto="1"/>
      </x:bottom>
    </x:border>
    <x:border>
      <x:left>
        <x:color auto="1"/>
      </x:left>
      <x:right>
        <x:color auto="1"/>
      </x:right>
      <x:top style="thin">
        <x:color auto="1"/>
      </x:top>
      <x:bottom>
        <x:color auto="1"/>
      </x:bottom>
    </x:border>
    <x:border>
      <x:left style="thin">
        <x:color auto="1"/>
      </x:left>
      <x:right>
        <x:color auto="1"/>
      </x:right>
      <x:top style="thin">
        <x:color auto="1"/>
      </x:top>
      <x:bottom style="thin">
        <x:color auto="1"/>
      </x:bottom>
    </x:border>
    <x:border>
      <x:left style="medium">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
      <x:left style="medium">
        <x:color auto="1"/>
      </x:left>
      <x:right style="thin">
        <x:color auto="1"/>
      </x:right>
      <x:top style="medium">
        <x:color auto="1"/>
      </x:top>
      <x:bottom style="thin">
        <x:color auto="1"/>
      </x:bottom>
    </x:border>
    <x:border>
      <x:left style="thin">
        <x:color auto="1"/>
      </x:left>
      <x:right style="thin">
        <x:color auto="1"/>
      </x:right>
      <x:top style="medium">
        <x:color auto="1"/>
      </x:top>
      <x:bottom style="thin">
        <x:color auto="1"/>
      </x:bottom>
    </x:border>
    <x:border>
      <x:left style="thin">
        <x:color auto="1"/>
      </x:left>
      <x:right>
        <x:color auto="1"/>
      </x:right>
      <x:top>
        <x:color auto="1"/>
      </x:top>
      <x:bottom>
        <x:color auto="1"/>
      </x:bottom>
    </x:border>
    <x:border>
      <x:left style="thin">
        <x:color auto="1"/>
      </x:left>
      <x:right>
        <x:color auto="1"/>
      </x:right>
      <x:top>
        <x:color auto="1"/>
      </x:top>
      <x:bottom style="thin">
        <x:color auto="1"/>
      </x:bottom>
    </x:border>
    <x:border>
      <x:left>
        <x:color auto="1"/>
      </x:left>
      <x:right>
        <x:color auto="1"/>
      </x:right>
      <x:top>
        <x:color auto="1"/>
      </x:top>
      <x:bottom style="thin">
        <x:color auto="1"/>
      </x:bottom>
    </x:border>
    <x:border>
      <x:left>
        <x:color auto="1"/>
      </x:left>
      <x:right style="thin">
        <x:color auto="1"/>
      </x:right>
      <x:top>
        <x:color auto="1"/>
      </x:top>
      <x:bottom style="thin">
        <x:color auto="1"/>
      </x:bottom>
    </x:border>
    <x:border>
      <x:left>
        <x:color auto="1"/>
      </x:left>
      <x:right style="thin">
        <x:color auto="1"/>
      </x:right>
      <x:top style="thin">
        <x:color auto="1"/>
      </x:top>
      <x:bottom style="thin">
        <x:color auto="1"/>
      </x:bottom>
    </x:border>
    <x:border>
      <x:left>
        <x:color auto="1"/>
      </x:left>
      <x:right style="thin">
        <x:color auto="1"/>
      </x:right>
      <x:top style="thin">
        <x:color auto="1"/>
      </x:top>
      <x:bottom>
        <x:color auto="1"/>
      </x:bottom>
    </x:border>
    <x:border>
      <x:left>
        <x:color auto="1"/>
      </x:left>
      <x:right style="thin">
        <x:color auto="1"/>
      </x:right>
      <x:top>
        <x:color auto="1"/>
      </x:top>
      <x:bottom>
        <x:color auto="1"/>
      </x:bottom>
    </x:border>
    <x:border>
      <x:left style="medium">
        <x:color auto="1"/>
      </x:left>
      <x:right>
        <x:color auto="1"/>
      </x:right>
      <x:top style="medium">
        <x:color auto="1"/>
      </x:top>
      <x:bottom style="medium">
        <x:color auto="1"/>
      </x:bottom>
    </x:border>
    <x:border>
      <x:left style="medium">
        <x:color auto="1"/>
      </x:left>
      <x:right style="medium">
        <x:color auto="1"/>
      </x:right>
      <x:top style="medium">
        <x:color auto="1"/>
      </x:top>
      <x:bottom style="medium">
        <x:color auto="1"/>
      </x:bottom>
    </x:border>
    <x:border>
      <x:left style="thin">
        <x:color auto="1"/>
      </x:left>
      <x:right style="thin">
        <x:color auto="1"/>
      </x:right>
      <x:top style="thin">
        <x:color auto="1"/>
      </x:top>
      <x:bottom>
        <x:color auto="1"/>
      </x:bottom>
    </x:border>
    <x:border>
      <x:left style="thin">
        <x:color auto="1"/>
      </x:left>
      <x:right style="medium">
        <x:color auto="1"/>
      </x:right>
      <x:top style="medium">
        <x:color auto="1"/>
      </x:top>
      <x:bottom style="thin">
        <x:color auto="1"/>
      </x:bottom>
    </x:border>
    <x:border>
      <x:left>
        <x:color auto="1"/>
      </x:left>
      <x:right>
        <x:color auto="1"/>
      </x:right>
      <x:top style="thin">
        <x:color auto="1"/>
      </x:top>
      <x:bottom style="thin">
        <x:color auto="1"/>
      </x:bottom>
    </x:border>
    <x:border>
      <x:left style="thin">
        <x:color auto="1"/>
      </x:left>
      <x:right>
        <x:color auto="1"/>
      </x:right>
      <x:top style="thin">
        <x:color auto="1"/>
      </x:top>
      <x:bottom>
        <x:color auto="1"/>
      </x:bottom>
    </x:border>
  </x:borders>
  <x:cellStyleXfs count="1">
    <x:xf numFmtId="0" fontId="0" fillId="0" borderId="0">
      <x:alignment horizontal="general" vertical="center"/>
    </x:xf>
  </x:cellStyleXfs>
  <x:cellXfs count="252">
    <x:xf numFmtId="0" fontId="0" fillId="0" borderId="0" xfId="0">
      <x:alignment horizontal="general" vertical="center"/>
    </x:xf>
    <x:xf numFmtId="0" fontId="0" fillId="0" borderId="0" xfId="0">
      <x:alignment horizontal="general" vertical="center"/>
    </x:xf>
    <x:xf numFmtId="0" fontId="0" fillId="0" borderId="0" xfId="0" applyNumberFormat="1">
      <x:alignment horizontal="general" vertical="center"/>
    </x:xf>
    <x:xf numFmtId="0" fontId="0" fillId="0" borderId="0" xfId="0" applyNumberFormat="1">
      <x:alignment horizontal="general" vertical="center"/>
    </x:xf>
    <x:xf numFmtId="0" fontId="0" fillId="0" borderId="0" xfId="0" applyNumberFormat="1">
      <x:alignment horizontal="general" vertical="center"/>
    </x:xf>
    <x:xf numFmtId="0" fontId="0" fillId="0" borderId="0" xfId="0" applyNumberFormat="1">
      <x:alignment horizontal="general" vertical="center"/>
    </x:xf>
    <x:xf numFmtId="0" fontId="0" fillId="0" borderId="0" xfId="0" applyNumberFormat="1">
      <x:alignment horizontal="general" vertical="center"/>
    </x:xf>
    <mc:AlternateContent xmlns:mc="http://schemas.openxmlformats.org/markup-compatibility/2006">
      <mc:Choice xmlns:hs="http://schemas.haansoft.com/office/spreadsheet/8.0" Requires="hs">
        <x:xf numFmtId="0"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NumberFormat="1" applyFont="1" applyAlignment="1">
          <x:alignment horizontal="center" vertical="center"/>
        </x:xf>
      </mc:Fallback>
    </mc:AlternateContent>
    <x:xf numFmtId="0" fontId="6" fillId="0" borderId="0" xfId="0" applyNumberFormat="1" applyFont="1">
      <x:alignment horizontal="general" vertical="center"/>
    </x:xf>
    <x:xf numFmtId="0" fontId="6" fillId="0" borderId="0" xfId="0" applyNumberFormat="1" applyFont="1" applyFill="1">
      <x:alignment horizontal="general" vertical="center"/>
    </x:xf>
    <x:xf numFmtId="0" fontId="7" fillId="0" borderId="0" xfId="0" applyNumberFormat="1" applyFont="1">
      <x:alignment horizontal="general" vertical="center"/>
    </x:xf>
    <mc:AlternateContent xmlns:mc="http://schemas.openxmlformats.org/markup-compatibility/2006">
      <mc:Choice xmlns:hs="http://schemas.haansoft.com/office/spreadsheet/8.0" Requires="hs">
        <x:xf numFmtId="0" fontId="0" fillId="0" borderId="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Border="1" applyAlignment="1">
          <x:alignment horizontal="center" vertical="center"/>
        </x:xf>
      </mc:Fallback>
    </mc:AlternateContent>
    <x:xf numFmtId="49" fontId="6" fillId="0" borderId="0" xfId="0" applyNumberFormat="1" applyFont="1">
      <x:alignment horizontal="general" vertical="center"/>
    </x:xf>
    <mc:AlternateContent xmlns:mc="http://schemas.openxmlformats.org/markup-compatibility/2006">
      <mc:Choice xmlns:hs="http://schemas.haansoft.com/office/spreadsheet/8.0" Requires="hs">
        <x:xf numFmtId="0" fontId="0" fillId="0" borderId="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ill="1" applyBorder="1" applyAlignment="1">
          <x:alignment horizontal="center" vertical="center"/>
        </x:xf>
      </mc:Fallback>
    </mc:AlternateContent>
    <x:xf numFmtId="164" fontId="6" fillId="0" borderId="0" xfId="0" applyNumberFormat="1" applyFont="1">
      <x:alignment horizontal="general" vertical="center"/>
    </x:xf>
    <mc:AlternateContent xmlns:mc="http://schemas.openxmlformats.org/markup-compatibility/2006">
      <mc:Choice xmlns:hs="http://schemas.haansoft.com/office/spreadsheet/8.0" Requires="hs">
        <x:xf numFmtId="0" fontId="0"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1"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1"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x:alignment horizontal="center" vertical="center"/>
        </x:xf>
      </mc:Fallback>
    </mc:AlternateContent>
    <x:xf numFmtId="167" fontId="6" fillId="0" borderId="3"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170"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0" fontId="0"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70" fontId="0" fillId="0" borderId="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0" fontId="0" fillId="0" borderId="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70"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0"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70"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0"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NumberFormat="1" applyFont="1" applyBorder="1" applyAlignment="1">
          <x:alignment horizontal="center" vertical="center"/>
        </x:xf>
      </mc:Fallback>
    </mc:AlternateContent>
    <x:xf numFmtId="0" fontId="8" fillId="0" borderId="0" xfId="0" applyNumberFormat="1" applyFont="1">
      <x:alignment horizontal="general" vertical="center"/>
    </x:xf>
    <x:xf numFmtId="0" fontId="9" fillId="0" borderId="0" xfId="0" applyNumberFormat="1" applyFont="1">
      <x:alignment horizontal="general" vertical="center"/>
    </x:xf>
    <x:xf numFmtId="164" fontId="9" fillId="0" borderId="0" xfId="0" applyNumberFormat="1" applyFont="1">
      <x:alignment horizontal="general" vertical="center"/>
    </x:xf>
    <x:xf numFmtId="167" fontId="9" fillId="0" borderId="0" xfId="0" applyNumberFormat="1" applyFont="1" applyFill="1" applyBorder="1" applyAlignment="1" applyProtection="1">
      <x:alignment horizontal="general" vertical="center"/>
    </x:xf>
    <x:xf numFmtId="0" fontId="10" fillId="0" borderId="0" xfId="0" applyNumberFormat="1" applyFont="1">
      <x:alignment horizontal="general" vertical="center"/>
    </x:xf>
    <mc:AlternateContent xmlns:mc="http://schemas.openxmlformats.org/markup-compatibility/2006">
      <mc:Choice xmlns:hs="http://schemas.haansoft.com/office/spreadsheet/8.0" Requires="hs">
        <x:xf numFmtId="0" fontId="11"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6" xfId="0" applyNumberFormat="1" applyFont="1" applyBorder="1" applyAlignment="1">
          <x:alignment horizontal="center" vertical="center"/>
        </x:xf>
      </mc:Fallback>
    </mc:AlternateContent>
    <x:xf numFmtId="0" fontId="0" fillId="0" borderId="0" xfId="0" applyNumberFormat="1" applyFont="1">
      <x:alignment horizontal="general" vertical="center"/>
    </x:xf>
    <x:xf numFmtId="0" fontId="11" fillId="0" borderId="1"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11"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4" fontId="12" fillId="0" borderId="1" xfId="0" applyNumberFormat="1" applyFont="1" applyFill="1" applyBorder="1" applyAlignment="1" applyProtection="1" hs:applyExtension="1">
          <x:alignment horizontal="general" vertical="center" wrapText="1"/>
          <hs:parashape hs:lineSpacingType="percent" hs:lineSpacing="90" hs:breakNonLatinWord="breakWord" hs:breakLatinWord="keepWord" hs:condense="0" hs:textAlignment="baseLine"/>
        </x:xf>
      </mc:Choice>
      <mc:Fallback>
        <x:xf numFmtId="164" fontId="12" fillId="0" borderId="1" xfId="0" applyNumberFormat="1" applyFont="1" applyFill="1" applyBorder="1" applyAlignment="1" applyProtection="1">
          <x:alignment horizontal="general" vertical="center" wrapText="1"/>
        </x:xf>
      </mc:Fallback>
    </mc:AlternateContent>
    <mc:AlternateContent xmlns:mc="http://schemas.openxmlformats.org/markup-compatibility/2006">
      <mc:Choice xmlns:hs="http://schemas.haansoft.com/office/spreadsheet/8.0" Requires="hs">
        <x:xf numFmtId="0" fontId="12" fillId="0" borderId="1" xfId="0" applyNumberFormat="1" applyFont="1" applyFill="1" applyBorder="1" applyAlignment="1" applyProtection="1" hs:applyExtension="1">
          <x:alignment horizontal="center" vertical="center" wrapText="1"/>
          <hs:parashape hs:lineSpacingType="percent" hs:lineSpacing="90" hs:breakNonLatinWord="breakWord" hs:breakLatinWord="keepWord" hs:condense="0" hs:textAlignment="baseLine"/>
        </x:xf>
      </mc:Choice>
      <mc:Fallback>
        <x:xf numFmtId="0" fontId="12"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8" fontId="11"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8" fontId="11" fillId="0" borderId="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2" fillId="0" borderId="1" xfId="0" applyNumberFormat="1" applyFont="1" applyFill="1" applyBorder="1" applyAlignment="1" applyProtection="1" hs:applyExtension="1">
          <x:alignment horizontal="center" vertical="center" wrapText="1"/>
          <hs:parashape hs:lineSpacingType="percent" hs:lineSpacing="90" hs:breakNonLatinWord="breakWord" hs:breakLatinWord="keepWord" hs:condense="0" hs:textAlignment="baseLine"/>
        </x:xf>
      </mc:Choice>
      <mc:Fallback>
        <x:xf numFmtId="164" fontId="12"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1"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4" xfId="0" applyNumberFormat="1" applyFont="1" applyBorder="1" applyAlignment="1">
          <x:alignment horizontal="center" vertical="center"/>
        </x:xf>
      </mc:Fallback>
    </mc:AlternateContent>
    <x:xf numFmtId="0" fontId="0" fillId="0" borderId="14" xfId="0" applyNumberFormat="1" applyFont="1" applyFill="1" applyBorder="1" applyAlignment="1" applyProtection="1">
      <x:alignment horizontal="general" vertical="center" wrapText="1"/>
    </x:xf>
    <x:xf numFmtId="0" fontId="0" fillId="0" borderId="15"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49" fontId="12" fillId="0" borderId="0" xfId="0" applyNumberFormat="1" applyFont="1" applyFill="1" applyBorder="1" applyAlignment="1" applyProtection="1" hs:applyExtension="1">
          <x:alignment horizontal="general" vertical="center" wrapText="1"/>
          <hs:parashape hs:lineSpacingType="percent" hs:lineSpacing="200" hs:breakNonLatinWord="breakWord" hs:breakLatinWord="keepWord" hs:condense="0" hs:textAlignment="baseLine"/>
        </x:xf>
      </mc:Choice>
      <mc:Fallback>
        <x:xf numFmtId="49" fontId="12" fillId="0" borderId="0" xfId="0" applyNumberFormat="1" applyFont="1" applyFill="1" applyBorder="1" applyAlignment="1" applyProtection="1">
          <x:alignment horizontal="general" vertical="center" wrapText="1"/>
        </x:xf>
      </mc:Fallback>
    </mc:AlternateContent>
    <mc:AlternateContent xmlns:mc="http://schemas.openxmlformats.org/markup-compatibility/2006">
      <mc:Choice xmlns:hs="http://schemas.haansoft.com/office/spreadsheet/8.0" Requires="hs">
        <x:xf numFmtId="49" fontId="12" fillId="0" borderId="12" xfId="0" applyNumberFormat="1" applyFont="1" applyFill="1" applyBorder="1" applyAlignment="1" applyProtection="1" hs:applyExtension="1">
          <x:alignment horizontal="general" vertical="center" wrapText="1"/>
          <hs:parashape hs:lineSpacingType="percent" hs:lineSpacing="200" hs:breakNonLatinWord="breakWord" hs:breakLatinWord="keepWord" hs:condense="0" hs:textAlignment="baseLine"/>
        </x:xf>
      </mc:Choice>
      <mc:Fallback>
        <x:xf numFmtId="49" fontId="12" fillId="0" borderId="12" xfId="0" applyNumberFormat="1" applyFont="1" applyFill="1" applyBorder="1" applyAlignment="1" applyProtection="1">
          <x:alignment horizontal="general" vertical="center" wrapText="1"/>
        </x:xf>
      </mc:Fallback>
    </mc:AlternateContent>
    <mc:AlternateContent xmlns:mc="http://schemas.openxmlformats.org/markup-compatibility/2006">
      <mc:Choice xmlns:hs="http://schemas.haansoft.com/office/spreadsheet/8.0" Requires="hs">
        <x:xf numFmtId="169" fontId="12" fillId="0" borderId="12" xfId="0" applyNumberFormat="1" applyFont="1" applyFill="1" applyBorder="1" applyAlignment="1" applyProtection="1" hs:applyExtension="1">
          <x:alignment horizontal="general" vertical="center" wrapText="1"/>
          <hs:parashape hs:lineSpacingType="percent" hs:lineSpacing="200" hs:breakNonLatinWord="breakWord" hs:breakLatinWord="keepWord" hs:condense="0" hs:textAlignment="baseLine"/>
        </x:xf>
      </mc:Choice>
      <mc:Fallback>
        <x:xf numFmtId="169" fontId="12" fillId="0" borderId="12" xfId="0" applyNumberFormat="1" applyFont="1" applyFill="1" applyBorder="1" applyAlignment="1" applyProtection="1">
          <x:alignment horizontal="general" vertical="center" wrapText="1"/>
        </x:xf>
      </mc:Fallback>
    </mc:AlternateContent>
    <mc:AlternateContent xmlns:mc="http://schemas.openxmlformats.org/markup-compatibility/2006">
      <mc:Choice xmlns:hs="http://schemas.haansoft.com/office/spreadsheet/8.0" Requires="hs">
        <x:xf numFmtId="169" fontId="12" fillId="0" borderId="0" xfId="0" applyNumberFormat="1" applyFont="1" applyFill="1" applyBorder="1" applyAlignment="1" applyProtection="1" hs:applyExtension="1">
          <x:alignment horizontal="general" vertical="center" wrapText="1"/>
          <hs:parashape hs:lineSpacingType="percent" hs:lineSpacing="200" hs:breakNonLatinWord="breakWord" hs:breakLatinWord="keepWord" hs:condense="0" hs:textAlignment="baseLine"/>
        </x:xf>
      </mc:Choice>
      <mc:Fallback>
        <x:xf numFmtId="169" fontId="12" fillId="0" borderId="0" xfId="0" applyNumberFormat="1" applyFont="1" applyFill="1" applyBorder="1" applyAlignment="1" applyProtection="1">
          <x:alignment horizontal="general" vertical="center" wrapText="1"/>
        </x:xf>
      </mc:Fallback>
    </mc:AlternateContent>
    <mc:AlternateContent xmlns:mc="http://schemas.openxmlformats.org/markup-compatibility/2006">
      <mc:Choice xmlns:hs="http://schemas.haansoft.com/office/spreadsheet/8.0" Requires="hs">
        <x:xf numFmtId="0" fontId="13" fillId="3" borderId="4" xfId="0" applyNumberFormat="1" applyFont="1" applyFill="1" applyBorder="1" applyAlignment="1" hs:applyExtension="1">
          <x:alignment horizontal="justify" vertical="center" wrapText="1"/>
          <hs:parashape hs:lineSpacingType="percent" hs:lineSpacing="90" hs:breakNonLatinWord="breakWord" hs:breakLatinWord="keepWord" hs:condense="0" hs:textAlignment="baseLine"/>
        </x:xf>
      </mc:Choice>
      <mc:Fallback>
        <x:xf numFmtId="0" fontId="13" fillId="3" borderId="4" xfId="0" applyNumberFormat="1" applyFont="1" applyFill="1" applyBorder="1" applyAlignment="1">
          <x:alignment horizontal="justify" vertical="center" wrapText="1"/>
        </x:xf>
      </mc:Fallback>
    </mc:AlternateContent>
    <mc:AlternateContent xmlns:mc="http://schemas.openxmlformats.org/markup-compatibility/2006">
      <mc:Choice xmlns:hs="http://schemas.haansoft.com/office/spreadsheet/8.0" Requires="hs">
        <x:xf numFmtId="171" fontId="11"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1" fontId="11"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71" fontId="11" fillId="0"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1" fontId="11" fillId="0"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center" vertical="center"/>
        </x:xf>
      </mc:Fallback>
    </mc:AlternateContent>
    <x:xf numFmtId="0" fontId="14" fillId="0" borderId="1" xfId="0" applyNumberFormat="1" applyFont="1" applyFill="1" applyBorder="1" applyAlignment="1" applyProtection="1">
      <x:alignment horizontal="left" vertical="center"/>
    </x:xf>
    <x:xf numFmtId="166" fontId="6" fillId="0" borderId="0" xfId="0" applyNumberFormat="1" applyFont="1" applyFill="1" applyBorder="1">
      <x:alignment horizontal="general" vertical="center"/>
    </x:xf>
    <mc:AlternateContent xmlns:mc="http://schemas.openxmlformats.org/markup-compatibility/2006">
      <mc:Choice xmlns:hs="http://schemas.haansoft.com/office/spreadsheet/8.0" Requires="hs">
        <x:xf numFmtId="49" fontId="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0" fillId="0" borderId="1" xfId="0" applyNumberFormat="1" applyFont="1" applyFill="1" applyBorder="1" applyAlignment="1">
          <x:alignment horizontal="center" vertical="center"/>
        </x:xf>
      </mc:Fallback>
    </mc:AlternateContent>
    <x:xf numFmtId="0" fontId="15" fillId="0" borderId="0"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5" fillId="0"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0"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0" borderId="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5" fillId="0" borderId="0" xfId="0" applyNumberFormat="1" applyFont="1" applyFill="1" applyBorder="1" applyAlignment="1" applyProtection="1">
          <x:alignment horizontal="center" vertical="center" wrapText="1"/>
        </x:xf>
      </mc:Fallback>
    </mc:AlternateContent>
    <x:xf numFmtId="0" fontId="7" fillId="0" borderId="0" xfId="0" applyNumberFormat="1" applyFont="1" applyFill="1">
      <x:alignment horizontal="general" vertical="center"/>
    </x:xf>
    <mc:AlternateContent xmlns:mc="http://schemas.openxmlformats.org/markup-compatibility/2006">
      <mc:Choice xmlns:hs="http://schemas.haansoft.com/office/spreadsheet/8.0" Requires="hs">
        <x:xf numFmtId="0" fontId="1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4" fontId="1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4" fontId="16"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16" fillId="0" borderId="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 fontId="16" fillId="0" borderId="1" xfId="0" applyNumberFormat="1" applyFont="1" applyBorder="1" applyAlignment="1">
          <x:alignment horizontal="center" vertical="center" wrapText="1"/>
        </x:xf>
      </mc:Fallback>
    </mc:AlternateContent>
    <x:xf numFmtId="0" fontId="17" fillId="0" borderId="0" xfId="0" applyNumberFormat="1" applyFont="1" applyFill="1" applyBorder="1" applyAlignment="1" applyProtection="1">
      <x:alignment horizontal="general" vertical="center"/>
    </x:xf>
    <x:xf numFmtId="165" fontId="16"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16"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16"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16"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6"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6"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0" fontId="16"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0" fontId="16"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0" borderId="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0" fontId="16"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0" fontId="16" fillId="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72" fontId="16"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2" fontId="16"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72" fontId="16"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2" fontId="16" fillId="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73" fontId="16"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16"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7"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4" fontId="17"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4" fontId="17" fillId="0" borderId="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6"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6"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49" fontId="16"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16" fillId="0" borderId="1" xfId="0" applyNumberFormat="1" applyFont="1" applyFill="1" applyBorder="1" applyAlignment="1">
          <x:alignment horizontal="center" vertical="center"/>
        </x:xf>
      </mc:Fallback>
    </mc:AlternateContent>
    <x:xf numFmtId="0" fontId="18" fillId="0" borderId="0" xfId="0" applyNumberFormat="1" applyFont="1" applyBorder="1" applyAlignment="1">
      <x:alignment horizontal="left" vertical="center"/>
    </x:xf>
    <mc:AlternateContent xmlns:mc="http://schemas.openxmlformats.org/markup-compatibility/2006">
      <mc:Choice xmlns:hs="http://schemas.haansoft.com/office/spreadsheet/8.0" Requires="hs">
        <x:xf numFmtId="0" fontId="19"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NumberFormat="1" applyFont="1" applyBorder="1" applyAlignment="1">
          <x:alignment horizontal="center" vertical="center"/>
        </x:xf>
      </mc:Fallback>
    </mc:AlternateContent>
    <x:xf numFmtId="0" fontId="7" fillId="0" borderId="0" xfId="0" applyNumberFormat="1" applyFont="1" applyBorder="1">
      <x:alignment horizontal="general" vertical="center"/>
    </x:xf>
    <x:xf numFmtId="0" fontId="20" fillId="0" borderId="0" xfId="0" applyNumberFormat="1" applyFont="1">
      <x:alignment horizontal="general" vertical="center"/>
    </x:xf>
    <x:xf numFmtId="49" fontId="20" fillId="0" borderId="0" xfId="0" applyNumberFormat="1" applyFont="1">
      <x:alignment horizontal="general" vertical="center"/>
    </x:xf>
    <mc:AlternateContent xmlns:mc="http://schemas.openxmlformats.org/markup-compatibility/2006">
      <mc:Choice xmlns:hs="http://schemas.haansoft.com/office/spreadsheet/8.0" Requires="hs">
        <x:xf numFmtId="0" fontId="2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49" fontId="2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49" fontId="2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8" fontId="2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8" fontId="2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74" fontId="20" fillId="0" borderId="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74" fontId="20" fillId="0" borderId="0" xfId="0" applyNumberFormat="1" applyFont="1" applyFill="1" applyBorder="1" applyAlignment="1" applyProtection="1">
          <x:alignment horizontal="right" vertical="center"/>
        </x:xf>
      </mc:Fallback>
    </mc:AlternateContent>
    <x:xf numFmtId="168" fontId="20" fillId="0" borderId="0"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2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0" fillId="0" borderId="0" xfId="0" applyNumberFormat="1" applyFont="1" applyAlignment="1">
          <x:alignment horizontal="right" vertical="center"/>
        </x:xf>
      </mc:Fallback>
    </mc:AlternateContent>
    <x:xf numFmtId="0" fontId="20" fillId="0" borderId="0" xfId="0" applyNumberFormat="1" applyFont="1" applyAlignment="1">
      <x:alignment horizontal="left" vertical="center"/>
    </x:xf>
    <mc:AlternateContent xmlns:mc="http://schemas.openxmlformats.org/markup-compatibility/2006">
      <mc:Choice xmlns:hs="http://schemas.haansoft.com/office/spreadsheet/8.0" Requires="hs">
        <x:xf numFmtId="168" fontId="2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8" fontId="20" fillId="0" borderId="0" xfId="0" applyNumberFormat="1" applyFont="1" applyAlignment="1">
          <x:alignment horizontal="center" vertical="center"/>
        </x:xf>
      </mc:Fallback>
    </mc:AlternateContent>
    <x:xf numFmtId="0" fontId="0" fillId="0" borderId="0" xfId="0" applyNumberFormat="1" applyBorder="1">
      <x:alignment horizontal="general" vertical="center"/>
    </x:xf>
    <mc:AlternateContent xmlns:mc="http://schemas.openxmlformats.org/markup-compatibility/2006">
      <mc:Choice xmlns:hs="http://schemas.haansoft.com/office/spreadsheet/8.0" Requires="hs">
        <x:xf numFmtId="0" fontId="20"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0"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20" fillId="0" borderId="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0" fillId="0" borderId="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0"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0"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6" fontId="20"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20" fillId="0" borderId="1" xfId="0" applyNumberFormat="1" applyFont="1" applyFill="1" applyBorder="1" applyAlignment="1" applyProtection="1">
          <x:alignment horizontal="center" vertical="center"/>
        </x:xf>
      </mc:Fallback>
    </mc:AlternateContent>
    <x:xf numFmtId="0" fontId="21" fillId="0" borderId="0" xfId="0" applyNumberFormat="1" applyFont="1" applyBorder="1">
      <x:alignment horizontal="general" vertical="center"/>
    </x:xf>
    <x:xf numFmtId="0" fontId="20"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20"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NumberFormat="1" applyFont="1" applyBorder="1" applyAlignment="1">
          <x:alignment horizontal="center" vertical="center"/>
        </x:xf>
      </mc:Fallback>
    </mc:AlternateContent>
    <x:xf numFmtId="0" fontId="20" fillId="0" borderId="15" xfId="0" applyNumberFormat="1" applyFont="1" applyBorder="1">
      <x:alignment horizontal="general" vertical="center"/>
    </x:xf>
    <x:xf numFmtId="0" fontId="20" fillId="0" borderId="16" xfId="0" applyNumberFormat="1" applyFont="1" applyBorder="1">
      <x:alignment horizontal="general" vertical="center"/>
    </x:xf>
    <x:xf numFmtId="0" fontId="20" fillId="0" borderId="17" xfId="0" applyNumberFormat="1" applyFont="1" applyBorder="1">
      <x:alignment horizontal="general" vertical="center"/>
    </x:xf>
    <mc:AlternateContent xmlns:mc="http://schemas.openxmlformats.org/markup-compatibility/2006">
      <mc:Choice xmlns:hs="http://schemas.haansoft.com/office/spreadsheet/8.0" Requires="hs">
        <x:xf numFmtId="0" fontId="20"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0"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0" xfId="0" applyNumberFormat="1" applyFont="1" applyBorder="1" applyAlignment="1">
          <x:alignment horizontal="right" vertical="center"/>
        </x:xf>
      </mc:Fallback>
    </mc:AlternateContent>
    <x:xf numFmtId="0" fontId="22" fillId="0" borderId="18" xfId="0" applyNumberFormat="1" applyFont="1" applyBorder="1">
      <x:alignment horizontal="general" vertical="center"/>
    </x:xf>
    <x:xf numFmtId="0" fontId="0"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8" xfId="0" applyNumberFormat="1" applyFont="1" applyBorder="1" applyAlignment="1">
          <x:alignment horizontal="center" vertical="center"/>
        </x:xf>
      </mc:Fallback>
    </mc:AlternateContent>
    <x:xf numFmtId="0" fontId="19" fillId="0" borderId="0" xfId="0" applyNumberFormat="1" applyFont="1" applyBorder="1">
      <x:alignment horizontal="general" vertical="center"/>
    </x:xf>
    <x:xf numFmtId="0" fontId="18" fillId="0" borderId="12" xfId="0" applyNumberFormat="1" applyFont="1" applyBorder="1" applyAlignment="1">
      <x:alignment horizontal="left" vertical="center"/>
    </x:xf>
    <x:xf numFmtId="0" fontId="18" fillId="0" borderId="18" xfId="0" applyNumberFormat="1" applyFont="1" applyBorder="1" applyAlignment="1">
      <x:alignment horizontal="left" vertical="center"/>
    </x:xf>
    <x:xf numFmtId="0" fontId="0" fillId="0" borderId="12" xfId="0" applyNumberFormat="1" applyFont="1" applyBorder="1">
      <x:alignment horizontal="general" vertical="center"/>
    </x:xf>
    <x:xf numFmtId="0" fontId="0" fillId="0" borderId="18" xfId="0" applyNumberFormat="1" applyFont="1" applyBorder="1">
      <x:alignment horizontal="general" vertical="center"/>
    </x:xf>
    <x:xf numFmtId="0" fontId="0" fillId="0" borderId="13" xfId="0" applyNumberFormat="1" applyBorder="1">
      <x:alignment horizontal="general" vertical="center"/>
    </x:xf>
    <x:xf numFmtId="0" fontId="0" fillId="0" borderId="14" xfId="0" applyNumberFormat="1" applyBorder="1">
      <x:alignment horizontal="general" vertical="center"/>
    </x:xf>
    <x:xf numFmtId="0" fontId="0" fillId="0" borderId="15" xfId="0" applyNumberFormat="1" applyBorder="1">
      <x:alignment horizontal="general" vertical="center"/>
    </x:xf>
    <x:xf numFmtId="0" fontId="23" fillId="0" borderId="1" xfId="0" applyNumberFormat="1" applyFont="1" applyBorder="1">
      <x:alignment horizontal="general" vertical="center"/>
    </x:xf>
    <x:xf numFmtId="0" fontId="0" fillId="0" borderId="0" xfId="0" applyNumberFormat="1">
      <x:alignment horizontal="general" vertical="center"/>
    </x:xf>
    <mc:AlternateContent xmlns:mc="http://schemas.openxmlformats.org/markup-compatibility/2006">
      <mc:Choice xmlns:hs="http://schemas.haansoft.com/office/spreadsheet/8.0" Requires="hs">
        <x:xf numFmtId="164" fontId="20"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0" fillId="0" borderId="0" xfId="0" applyNumberFormat="1" applyFont="1" applyFill="1" applyBorder="1" applyAlignment="1">
          <x:alignment horizontal="center" vertical="center"/>
        </x:xf>
      </mc:Fallback>
    </mc:AlternateContent>
    <x:xf numFmtId="49" fontId="20" fillId="0" borderId="0" xfId="0" applyNumberFormat="1" applyFont="1" applyFill="1" applyBorder="1">
      <x:alignment horizontal="general" vertical="center"/>
    </x:xf>
    <mc:AlternateContent xmlns:mc="http://schemas.openxmlformats.org/markup-compatibility/2006">
      <mc:Choice xmlns:hs="http://schemas.haansoft.com/office/spreadsheet/8.0" Requires="hs">
        <x:xf numFmtId="0" fontId="20" fillId="4"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4"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49" fontId="20" fillId="4"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20" fillId="4"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20" fillId="4"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0" fillId="4"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7" fontId="20" fillId="4"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7" fontId="20" fillId="4"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4" fontId="20" fillId="0" borderId="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20" fillId="0" borderId="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2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2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7" fontId="2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7" fontId="2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2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20" fillId="0" borderId="1" xfId="0" applyNumberFormat="1" applyFont="1" applyFill="1" applyBorder="1" applyAlignment="1">
          <x:alignment horizontal="center" vertical="center"/>
        </x:xf>
      </mc:Fallback>
    </mc:AlternateContent>
    <x:xf numFmtId="0" fontId="6"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20"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49" fontId="6"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6" fillId="0" borderId="0" xfId="0" applyNumberFormat="1" applyFont="1" applyFill="1" applyBorder="1" applyAlignment="1">
          <x:alignment horizontal="center" vertical="center"/>
        </x:xf>
      </mc:Fallback>
    </mc:AlternateContent>
    <x:xf numFmtId="49" fontId="7" fillId="0" borderId="0" xfId="0" applyNumberFormat="1" applyFont="1" applyFill="1" applyBorder="1">
      <x:alignment horizontal="general" vertical="center"/>
    </x:xf>
    <mc:AlternateContent xmlns:mc="http://schemas.openxmlformats.org/markup-compatibility/2006">
      <mc:Choice xmlns:hs="http://schemas.haansoft.com/office/spreadsheet/8.0" Requires="hs">
        <x:xf numFmtId="49" fontId="20"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20" fillId="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49" fontId="7"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7" fillId="0" borderId="0" xfId="0" applyNumberFormat="1" applyFont="1" applyFill="1" applyBorder="1" applyAlignment="1">
          <x:alignment horizontal="center" vertical="center"/>
        </x:xf>
      </mc:Fallback>
    </mc:AlternateContent>
    <x:xf numFmtId="49" fontId="6" fillId="0" borderId="0" xfId="0" applyNumberFormat="1" applyFont="1" applyFill="1" applyBorder="1">
      <x:alignment horizontal="general" vertical="center"/>
    </x:xf>
    <x:xf numFmtId="0" fontId="20" fillId="0" borderId="0" xfId="0" applyNumberFormat="1" applyFont="1">
      <x:alignment horizontal="general" vertical="center"/>
    </x:xf>
    <x:xf numFmtId="0" fontId="24" fillId="0" borderId="0" xfId="0" applyNumberFormat="1" applyFont="1">
      <x:alignment horizontal="general" vertical="center"/>
    </x:xf>
    <x:xf numFmtId="0" fontId="24" fillId="0" borderId="0" xfId="0" applyNumberFormat="1" applyFont="1" applyBorder="1">
      <x:alignment horizontal="general" vertical="center"/>
    </x:xf>
    <x:xf numFmtId="165" fontId="7" fillId="0" borderId="0" xfId="0" applyNumberFormat="1" applyFont="1">
      <x:alignment horizontal="general" vertical="center"/>
    </x:xf>
    <mc:AlternateContent xmlns:mc="http://schemas.openxmlformats.org/markup-compatibility/2006">
      <mc:Choice xmlns:hs="http://schemas.haansoft.com/office/spreadsheet/8.0" Requires="hs">
        <x:xf numFmtId="174" fontId="2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4" fontId="20"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 xfId="0" applyNumberFormat="1" applyFont="1" applyBorder="1" applyAlignment="1">
          <x:alignment horizontal="center" vertical="center"/>
        </x:xf>
      </mc:Fallback>
    </mc:AlternateContent>
    <x:xf numFmtId="0" fontId="20" fillId="0" borderId="1" xfId="0" applyNumberFormat="1" applyFont="1" applyBorder="1">
      <x:alignment horizontal="general" vertical="center"/>
    </x:xf>
    <mc:AlternateContent xmlns:mc="http://schemas.openxmlformats.org/markup-compatibility/2006">
      <mc:Choice xmlns:hs="http://schemas.haansoft.com/office/spreadsheet/8.0" Requires="hs">
        <x:xf numFmtId="177" fontId="2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7" fontId="20" fillId="0" borderId="1" xfId="0" applyNumberFormat="1" applyFont="1" applyFill="1" applyBorder="1" applyAlignment="1">
          <x:alignment horizontal="center" vertical="center"/>
        </x:xf>
      </mc:Fallback>
    </mc:AlternateContent>
    <x:xf numFmtId="164" fontId="0" fillId="0" borderId="0" xfId="0" applyNumberFormat="1" applyFont="1" applyFill="1" applyBorder="1">
      <x:alignment horizontal="general" vertical="center"/>
    </x:xf>
    <mc:AlternateContent xmlns:mc="http://schemas.openxmlformats.org/markup-compatibility/2006">
      <mc:Choice xmlns:hs="http://schemas.haansoft.com/office/spreadsheet/8.0" Requires="hs">
        <x:xf numFmtId="164" fontId="0"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0" fillId="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6" fontId="0" fillId="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0" fillId="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6" fontId="2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6" fontId="2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78" fontId="20"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8" fontId="20"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0" borderId="19"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19"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5" fillId="0" borderId="2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2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6" fillId="0" borderId="2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26" fillId="0" borderId="2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2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2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6" xfId="0" applyNumberFormat="1" applyFont="1" applyFill="1" applyBorder="1" applyAlignment="1" applyProtection="1">
          <x:alignment horizontal="center" vertical="center"/>
        </x:xf>
      </mc:Fallback>
    </mc:AlternateContent>
    <x:xf numFmtId="0" fontId="11" fillId="0" borderId="21"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169" fontId="11"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9" fontId="11"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9" fontId="11" fillId="0" borderId="1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9" fontId="11" fillId="0" borderId="1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5"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7" fillId="0" borderId="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8" fillId="0" borderId="0" xfId="0" applyNumberFormat="1" applyFont="1" applyAlignment="1" hs:applyExtension="1">
          <x:alignment horizontal="justify" vertical="center" wrapText="1"/>
          <hs:parashape hs:leftMargin="3700" hs:indentation="-3700" hs:lineSpacingType="percent" hs:lineSpacing="220" hs:breakNonLatinWord="breakWord" hs:breakLatinWord="keepWord" hs:condense="0" hs:textAlignment="baseLine"/>
        </x:xf>
      </mc:Choice>
      <mc:Fallback>
        <x:xf numFmtId="0" fontId="28" fillId="0" borderId="0" xfId="0" applyNumberFormat="1" applyFont="1" applyAlignment="1">
          <x:alignment horizontal="justify" vertical="center" wrapText="1"/>
        </x:xf>
      </mc:Fallback>
    </mc:AlternateContent>
    <x:xf numFmtId="0" fontId="0" fillId="0"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29" fillId="3" borderId="23" xfId="0" applyNumberFormat="1" applyFont="1" applyFill="1" applyBorder="1" applyAlignment="1" hs:applyExtension="1">
          <x:alignment horizontal="justify" vertical="center" wrapText="1"/>
          <hs:parashape hs:lineSpacingType="percent" hs:lineSpacing="160" hs:breakNonLatinWord="breakWord" hs:breakLatinWord="keepWord" hs:condense="0" hs:textAlignment="baseLine"/>
        </x:xf>
      </mc:Choice>
      <mc:Fallback>
        <x:xf numFmtId="0" fontId="29" fillId="3" borderId="23" xfId="0" applyNumberFormat="1" applyFont="1" applyFill="1" applyBorder="1" applyAlignment="1">
          <x:alignment horizontal="justify" vertical="center" wrapText="1"/>
        </x:xf>
      </mc:Fallback>
    </mc:AlternateContent>
    <x:xf numFmtId="0" fontId="0" fillId="3" borderId="16"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3" fillId="3" borderId="4" xfId="0" applyNumberFormat="1" applyFont="1" applyFill="1" applyBorder="1" applyAlignment="1" applyProtection="1" hs:applyExtension="1">
          <x:alignment horizontal="left" vertical="center" wrapText="1"/>
          <hs:parashape hs:lineSpacingType="percent" hs:lineSpacing="160" hs:breakNonLatinWord="breakWord" hs:breakLatinWord="keepWord" hs:condense="0" hs:textAlignment="baseLine"/>
        </x:xf>
      </mc:Choice>
      <mc:Fallback>
        <x:xf numFmtId="0" fontId="13" fillId="3" borderId="4" xfId="0" applyNumberFormat="1" applyFont="1" applyFill="1" applyBorder="1" applyAlignment="1" applyProtection="1">
          <x:alignment horizontal="left" vertical="center" wrapText="1"/>
        </x:xf>
      </mc:Fallback>
    </mc:AlternateContent>
    <x:xf numFmtId="0" fontId="0" fillId="3" borderId="16" xfId="0"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2" fillId="0" borderId="1" xfId="0" applyNumberFormat="1" applyFont="1" applyFill="1" applyBorder="1" applyAlignment="1" applyProtection="1" hs:applyExtension="1">
          <x:alignment horizontal="center" vertical="center" wrapText="1"/>
          <hs:parashape hs:lineSpacingType="percent" hs:lineSpacing="130" hs:breakNonLatinWord="breakWord" hs:breakLatinWord="keepWord" hs:condense="0" hs:textAlignment="baseLine"/>
        </x:xf>
      </mc:Choice>
      <mc:Fallback>
        <x:xf numFmtId="0" fontId="12"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0"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30"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2" fillId="0" borderId="4" xfId="0" applyNumberFormat="1" applyFont="1" applyFill="1" applyBorder="1" applyAlignment="1" applyProtection="1" hs:applyExtension="1">
          <x:alignment horizontal="center" vertical="center" wrapText="1"/>
          <hs:parashape hs:lineSpacingType="fixed" hs:lineSpacing="2200" hs:breakNonLatinWord="breakWord" hs:breakLatinWord="keepWord" hs:condense="0" hs:textAlignment="baseLine"/>
        </x:xf>
      </mc:Choice>
      <mc:Fallback>
        <x:xf numFmtId="0" fontId="12" fillId="0" borderId="4"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0" fillId="0" borderId="16" xfId="0" applyNumberFormat="1" applyFont="1" applyFill="1" applyBorder="1" applyAlignment="1" applyProtection="1" hs:applyExtension="1">
          <x:alignment horizontal="center" vertical="center" wrapText="1"/>
          <hs:parashape hs:lineSpacingType="fixed" hs:lineSpacing="2200" hs:breakNonLatinWord="breakWord" hs:breakLatinWord="keepWord" hs:condense="0" hs:textAlignment="baseLine"/>
        </x:xf>
      </mc:Choice>
      <mc:Fallback>
        <x:xf numFmtId="0" fontId="30"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2" fillId="0" borderId="1" xfId="0" applyNumberFormat="1" applyFont="1" applyFill="1" applyBorder="1" applyAlignment="1" applyProtection="1" hs:applyExtension="1">
          <x:alignment horizontal="center" vertical="center" wrapText="1"/>
          <hs:parashape hs:lineSpacingType="percent" hs:lineSpacing="90" hs:breakNonLatinWord="breakWord" hs:breakLatinWord="keepWord" hs:condense="0" hs:textAlignment="baseLine"/>
        </x:xf>
      </mc:Choice>
      <mc:Fallback>
        <x:xf numFmtId="0" fontId="12"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1" fillId="0" borderId="1" xfId="0" applyNumberFormat="1" applyFont="1" applyFill="1" applyBorder="1" applyAlignment="1" applyProtection="1" hs:applyExtension="1">
          <x:alignment horizontal="center" vertical="center" wrapText="1"/>
          <hs:parashape hs:lineSpacingType="percent" hs:lineSpacing="90" hs:breakNonLatinWord="breakWord" hs:breakLatinWord="keepWord" hs:condense="0" hs:textAlignment="baseLine"/>
        </x:xf>
      </mc:Choice>
      <mc:Fallback>
        <x:xf numFmtId="0" fontId="31"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9" fontId="32" fillId="0" borderId="4" xfId="0" applyNumberFormat="1" applyFont="1" applyFill="1" applyBorder="1" applyAlignment="1" applyProtection="1" hs:applyExtension="1">
          <x:alignment horizontal="center" vertical="center" wrapText="1"/>
          <hs:parashape hs:lineSpacingType="percent" hs:lineSpacing="130" hs:breakNonLatinWord="breakWord" hs:breakLatinWord="keepWord" hs:condense="0" hs:textAlignment="baseLine"/>
        </x:xf>
      </mc:Choice>
      <mc:Fallback>
        <x:xf numFmtId="169" fontId="32" fillId="0" borderId="4"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9" fontId="9" fillId="0"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9" fontId="9" fillId="0"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1"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2" fillId="0" borderId="1" xfId="0" applyNumberFormat="1" applyFont="1" applyFill="1" applyBorder="1" applyAlignment="1" applyProtection="1" hs:applyExtension="1">
          <x:alignment horizontal="center" vertical="center" wrapText="1"/>
          <hs:parashape hs:lineSpacingType="percent" hs:lineSpacing="130" hs:breakNonLatinWord="breakWord" hs:breakLatinWord="keepWord" hs:condense="0" hs:textAlignment="baseLine"/>
        </x:xf>
      </mc:Choice>
      <mc:Fallback>
        <x:xf numFmtId="0" fontId="32"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2"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32"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3" fillId="0" borderId="24" xfId="0" applyNumberFormat="1" applyFont="1" applyBorder="1" applyAlignment="1" hs:applyExtension="1">
          <x:alignment horizontal="justify" vertical="center" wrapText="1"/>
          <hs:parashape hs:lineSpacingType="percent" hs:lineSpacing="200" hs:breakNonLatinWord="breakWord" hs:breakLatinWord="keepWord" hs:condense="0" hs:textAlignment="baseLine"/>
        </x:xf>
      </mc:Choice>
      <mc:Fallback>
        <x:xf numFmtId="0" fontId="33" fillId="0" borderId="24" xfId="0" applyNumberFormat="1" applyFont="1" applyBorder="1" applyAlignment="1">
          <x:alignment horizontal="justify" vertical="center" wrapText="1"/>
        </x:xf>
      </mc:Fallback>
    </mc:AlternateContent>
    <x:xf numFmtId="0" fontId="0" fillId="0" borderId="3" xfId="0" applyNumberFormat="1" applyFont="1" applyBorder="1" applyAlignment="1">
      <x:alignment horizontal="general" vertical="center" wrapText="1"/>
    </x:xf>
    <x:xf numFmtId="0" fontId="0" fillId="0" borderId="17" xfId="0"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33" fillId="0" borderId="12" xfId="0" applyNumberFormat="1" applyFont="1" applyBorder="1" applyAlignment="1" hs:applyExtension="1">
          <x:alignment horizontal="justify" vertical="center" wrapText="1"/>
          <hs:parashape hs:lineSpacingType="percent" hs:lineSpacing="200" hs:breakNonLatinWord="breakWord" hs:breakLatinWord="keepWord" hs:condense="0" hs:textAlignment="baseLine"/>
        </x:xf>
      </mc:Choice>
      <mc:Fallback>
        <x:xf numFmtId="0" fontId="33" fillId="0" borderId="12" xfId="0" applyNumberFormat="1" applyFont="1" applyBorder="1" applyAlignment="1">
          <x:alignment horizontal="justify" vertical="center" wrapText="1"/>
        </x:xf>
      </mc:Fallback>
    </mc:AlternateContent>
    <x:xf numFmtId="0" fontId="0" fillId="0" borderId="0" xfId="0" applyNumberFormat="1" applyFont="1" applyBorder="1" applyAlignment="1">
      <x:alignment horizontal="general" vertical="center" wrapText="1"/>
    </x:xf>
    <x:xf numFmtId="0" fontId="0" fillId="0" borderId="18" xfId="0" applyNumberFormat="1" applyFont="1" applyBorder="1" applyAlignment="1">
      <x:alignment horizontal="general" vertical="center" wrapText="1"/>
    </x:xf>
    <mc:AlternateContent xmlns:mc="http://schemas.openxmlformats.org/markup-compatibility/2006">
      <mc:Choice xmlns:hs="http://schemas.haansoft.com/office/spreadsheet/8.0" Requires="hs">
        <x:xf numFmtId="169" fontId="10" fillId="0" borderId="0" xfId="0" applyNumberFormat="1" applyFont="1" applyFill="1" applyBorder="1" applyAlignment="1" applyProtection="1" hs:applyExtension="1">
          <x:alignment horizontal="left" vertical="center" wrapText="1"/>
          <hs:parashape hs:lineSpacingType="percent" hs:lineSpacing="200" hs:breakNonLatinWord="breakWord" hs:breakLatinWord="keepWord" hs:condense="0" hs:textAlignment="baseLine"/>
        </x:xf>
      </mc:Choice>
      <mc:Fallback>
        <x:xf numFmtId="169" fontId="10" fillId="0" borderId="0" xfId="0" applyNumberFormat="1" applyFont="1" applyFill="1" applyBorder="1" applyAlignment="1" applyProtection="1">
          <x:alignment horizontal="left" vertical="center" wrapText="1"/>
        </x:xf>
      </mc:Fallback>
    </mc:AlternateContent>
    <mc:AlternateContent xmlns:mc="http://schemas.openxmlformats.org/markup-compatibility/2006">
      <mc:Choice xmlns:hs="http://schemas.haansoft.com/office/spreadsheet/8.0" Requires="hs">
        <x:xf numFmtId="169" fontId="10" fillId="0" borderId="18" xfId="0" applyNumberFormat="1" applyFont="1" applyFill="1" applyBorder="1" applyAlignment="1" applyProtection="1" hs:applyExtension="1">
          <x:alignment horizontal="left" vertical="center" wrapText="1"/>
          <hs:parashape hs:lineSpacingType="percent" hs:lineSpacing="200" hs:breakNonLatinWord="breakWord" hs:breakLatinWord="keepWord" hs:condense="0" hs:textAlignment="baseLine"/>
        </x:xf>
      </mc:Choice>
      <mc:Fallback>
        <x:xf numFmtId="169" fontId="10" fillId="0" borderId="18" xfId="0" applyNumberFormat="1" applyFont="1" applyFill="1" applyBorder="1" applyAlignment="1" applyProtection="1">
          <x:alignment horizontal="left" vertical="center" wrapText="1"/>
        </x:xf>
      </mc:Fallback>
    </mc:AlternateContent>
    <mc:AlternateContent xmlns:mc="http://schemas.openxmlformats.org/markup-compatibility/2006">
      <mc:Choice xmlns:hs="http://schemas.haansoft.com/office/spreadsheet/8.0" Requires="hs">
        <x:xf numFmtId="0" fontId="34" fillId="0" borderId="12" xfId="0" applyNumberFormat="1" applyFont="1" applyFill="1" applyBorder="1" applyAlignment="1" applyProtection="1" hs:applyExtension="1">
          <x:alignment horizontal="center" vertical="center" wrapText="1"/>
          <hs:parashape hs:leftMargin="1500" hs:lineSpacingType="percent" hs:lineSpacing="130" hs:breakNonLatinWord="breakWord" hs:breakLatinWord="keepWord" hs:condense="0" hs:textAlignment="baseLine"/>
        </x:xf>
      </mc:Choice>
      <mc:Fallback>
        <x:xf numFmtId="0" fontId="34" fillId="0" borderId="1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2" fillId="0" borderId="0" xfId="0" applyNumberFormat="1" applyFont="1" applyBorder="1" applyAlignment="1" hs:applyExtension="1">
          <x:alignment horizontal="left" vertical="center" wrapText="1" indent="1"/>
          <hs:parashape hs:leftMargin="1500" hs:rightMargin="1500" hs:lineSpacingType="percent" hs:lineSpacing="130" hs:breakNonLatinWord="breakWord" hs:breakLatinWord="keepWord" hs:condense="0" hs:textAlignment="baseLine"/>
        </x:xf>
      </mc:Choice>
      <mc:Fallback>
        <x:xf numFmtId="0" fontId="12" fillId="0" borderId="0" xfId="0" applyNumberFormat="1" applyFont="1" applyBorder="1" applyAlignment="1">
          <x:alignment horizontal="left" vertical="center" wrapText="1" indent="1"/>
        </x:xf>
      </mc:Fallback>
    </mc:AlternateContent>
    <x:xf numFmtId="0" fontId="0" fillId="0" borderId="1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35" fillId="0" borderId="12" xfId="0" applyNumberFormat="1" applyFont="1" applyBorder="1" applyAlignment="1" hs:applyExtension="1">
          <x:alignment horizontal="justify" vertical="center" wrapText="1"/>
          <hs:parashape hs:leftMargin="1500" hs:lineSpacingType="percent" hs:lineSpacing="130" hs:breakNonLatinWord="breakWord" hs:breakLatinWord="keepWord" hs:condense="0" hs:textAlignment="baseLine"/>
        </x:xf>
      </mc:Choice>
      <mc:Fallback>
        <x:xf numFmtId="0" fontId="35" fillId="0" borderId="12" xfId="0" applyNumberFormat="1" applyFont="1" applyBorder="1" applyAlignment="1">
          <x:alignment horizontal="justify" vertical="center" wrapText="1"/>
        </x:xf>
      </mc:Fallback>
    </mc:AlternateContent>
    <mc:AlternateContent xmlns:mc="http://schemas.openxmlformats.org/markup-compatibility/2006">
      <mc:Choice xmlns:hs="http://schemas.haansoft.com/office/spreadsheet/8.0" Requires="hs">
        <x:xf numFmtId="49" fontId="12" fillId="0" borderId="0" xfId="0" applyNumberFormat="1" applyFont="1" applyFill="1" applyBorder="1" applyAlignment="1" applyProtection="1" hs:applyExtension="1">
          <x:alignment horizontal="left" vertical="center" wrapText="1"/>
          <hs:parashape hs:lineSpacingType="percent" hs:lineSpacing="200" hs:breakNonLatinWord="breakWord" hs:breakLatinWord="keepWord" hs:condense="0" hs:textAlignment="baseLine"/>
        </x:xf>
      </mc:Choice>
      <mc:Fallback>
        <x:xf numFmtId="49" fontId="12" fillId="0" borderId="0" xfId="0" applyNumberFormat="1" applyFont="1" applyFill="1" applyBorder="1" applyAlignment="1" applyProtection="1">
          <x:alignment horizontal="left" vertical="center" wrapText="1"/>
        </x:xf>
      </mc:Fallback>
    </mc:AlternateContent>
    <mc:AlternateContent xmlns:mc="http://schemas.openxmlformats.org/markup-compatibility/2006">
      <mc:Choice xmlns:hs="http://schemas.haansoft.com/office/spreadsheet/8.0" Requires="hs">
        <x:xf numFmtId="49" fontId="12" fillId="0" borderId="18" xfId="0" applyNumberFormat="1" applyFont="1" applyFill="1" applyBorder="1" applyAlignment="1" applyProtection="1" hs:applyExtension="1">
          <x:alignment horizontal="left" vertical="center" wrapText="1"/>
          <hs:parashape hs:lineSpacingType="percent" hs:lineSpacing="200" hs:breakNonLatinWord="breakWord" hs:breakLatinWord="keepWord" hs:condense="0" hs:textAlignment="baseLine"/>
        </x:xf>
      </mc:Choice>
      <mc:Fallback>
        <x:xf numFmtId="49" fontId="12" fillId="0" borderId="18" xfId="0" applyNumberFormat="1" applyFont="1" applyFill="1" applyBorder="1" applyAlignment="1" applyProtection="1">
          <x:alignment horizontal="left" vertical="center" wrapText="1"/>
        </x:xf>
      </mc:Fallback>
    </mc:AlternateContent>
    <mc:AlternateContent xmlns:mc="http://schemas.openxmlformats.org/markup-compatibility/2006">
      <mc:Choice xmlns:hs="http://schemas.haansoft.com/office/spreadsheet/8.0" Requires="hs">
        <x:xf numFmtId="0" fontId="34" fillId="0" borderId="12" xfId="0" applyNumberFormat="1" applyFont="1" applyFill="1" applyBorder="1" applyAlignment="1" applyProtection="1" hs:applyExtension="1">
          <x:alignment horizontal="center" vertical="center" wrapText="1"/>
          <hs:parashape hs:leftMargin="3700" hs:indentation="-3700" hs:lineSpacingType="percent" hs:lineSpacing="220" hs:breakNonLatinWord="breakWord" hs:breakLatinWord="keepWord" hs:condense="0" hs:textAlignment="baseLine"/>
        </x:xf>
      </mc:Choice>
      <mc:Fallback>
        <x:xf numFmtId="0" fontId="34" fillId="0" borderId="1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2" fillId="0" borderId="0" xfId="0" applyNumberFormat="1" applyFont="1" applyFill="1" applyBorder="1" applyAlignment="1" applyProtection="1" hs:applyExtension="1">
          <x:alignment horizontal="center" vertical="center" wrapText="1"/>
          <hs:parashape hs:leftMargin="1500" hs:rightMargin="1500" hs:lineSpacingType="percent" hs:lineSpacing="130" hs:breakNonLatinWord="breakWord" hs:breakLatinWord="keepWord" hs:condense="0" hs:textAlignment="baseLine"/>
        </x:xf>
      </mc:Choice>
      <mc:Fallback>
        <x:xf numFmtId="0" fontId="12" fillId="0" borderId="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2" fillId="0" borderId="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3" fillId="0" borderId="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33" fillId="0" borderId="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3" fillId="0" borderId="18"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33" fillId="0" borderId="18"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6" fillId="0" borderId="13" xfId="0" applyNumberFormat="1" applyFont="1" applyFill="1" applyBorder="1" applyAlignment="1" applyProtection="1" hs:applyExtension="1">
          <x:alignment horizontal="center" vertical="center" wrapText="1"/>
          <hs:parashape hs:leftMargin="1500" hs:rightMargin="1500" hs:lineSpacingType="percent" hs:lineSpacing="130" hs:breakNonLatinWord="breakWord" hs:breakLatinWord="keepWord" hs:condense="0" hs:textAlignment="baseLine"/>
        </x:xf>
      </mc:Choice>
      <mc:Fallback>
        <x:xf numFmtId="0" fontId="36" fillId="0" borderId="1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14"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4"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33" fillId="3" borderId="4" xfId="0" applyNumberFormat="1" applyFont="1" applyFill="1" applyBorder="1" applyAlignment="1" applyProtection="1" hs:applyExtension="1">
          <x:alignment horizontal="center" vertical="center" wrapText="1"/>
          <hs:parashape hs:lineSpacingType="percent" hs:lineSpacing="130" hs:breakNonLatinWord="breakWord" hs:breakLatinWord="keepWord" hs:condense="0" hs:textAlignment="baseLine"/>
        </x:xf>
      </mc:Choice>
      <mc:Fallback>
        <x:xf numFmtId="0" fontId="33" fillId="3" borderId="4"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3" borderId="2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3" borderId="2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3" borderId="1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3" borderId="1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3" fillId="0" borderId="4" xfId="0" applyNumberFormat="1" applyFont="1" applyFill="1" applyBorder="1" applyAlignment="1" applyProtection="1" hs:applyExtension="1">
          <x:alignment horizontal="left" vertical="center" wrapText="1" indent="3"/>
          <hs:parashape hs:leftMargin="3700" hs:indentation="-3700" hs:lineSpacingType="fixed" hs:lineSpacing="1900" hs:breakNonLatinWord="breakWord" hs:breakLatinWord="keepWord" hs:condense="0" hs:textAlignment="baseLine"/>
        </x:xf>
      </mc:Choice>
      <mc:Fallback>
        <x:xf numFmtId="0" fontId="13" fillId="0" borderId="4" xfId="0" applyNumberFormat="1" applyFont="1" applyFill="1" applyBorder="1" applyAlignment="1" applyProtection="1">
          <x:alignment horizontal="left" vertical="center" wrapText="1" indent="3"/>
        </x:xf>
      </mc:Fallback>
    </mc:AlternateContent>
    <mc:AlternateContent xmlns:mc="http://schemas.openxmlformats.org/markup-compatibility/2006">
      <mc:Choice xmlns:hs="http://schemas.haansoft.com/office/spreadsheet/8.0" Requires="hs">
        <x:xf numFmtId="0" fontId="37" fillId="0" borderId="23" xfId="0" applyNumberFormat="1" applyFont="1" applyFill="1" applyBorder="1" applyAlignment="1" applyProtection="1" hs:applyExtension="1">
          <x:alignment horizontal="left" vertical="center" wrapText="1"/>
          <hs:parashape hs:lineSpacingType="fixed" hs:lineSpacing="1900" hs:breakNonLatinWord="breakWord" hs:breakLatinWord="keepWord" hs:condense="0" hs:textAlignment="baseLine"/>
        </x:xf>
      </mc:Choice>
      <mc:Fallback>
        <x:xf numFmtId="0" fontId="37" fillId="0" borderId="23" xfId="0" applyNumberFormat="1" applyFont="1" applyFill="1" applyBorder="1" applyAlignment="1" applyProtection="1">
          <x:alignment horizontal="left" vertical="center" wrapText="1"/>
        </x:xf>
      </mc:Fallback>
    </mc:AlternateContent>
    <mc:AlternateContent xmlns:mc="http://schemas.openxmlformats.org/markup-compatibility/2006">
      <mc:Choice xmlns:hs="http://schemas.haansoft.com/office/spreadsheet/8.0" Requires="hs">
        <x:xf numFmtId="0" fontId="37" fillId="0" borderId="16" xfId="0" applyNumberFormat="1" applyFont="1" applyFill="1" applyBorder="1" applyAlignment="1" applyProtection="1" hs:applyExtension="1">
          <x:alignment horizontal="left" vertical="center" wrapText="1"/>
          <hs:parashape hs:lineSpacingType="fixed" hs:lineSpacing="1900" hs:breakNonLatinWord="breakWord" hs:breakLatinWord="keepWord" hs:condense="0" hs:textAlignment="baseLine"/>
        </x:xf>
      </mc:Choice>
      <mc:Fallback>
        <x:xf numFmtId="0" fontId="37" fillId="0" borderId="16" xfId="0" applyNumberFormat="1" applyFont="1" applyFill="1" applyBorder="1" applyAlignment="1" applyProtection="1">
          <x:alignment horizontal="left" vertical="center" wrapText="1"/>
        </x:xf>
      </mc:Fallback>
    </mc:AlternateContent>
    <mc:AlternateContent xmlns:mc="http://schemas.openxmlformats.org/markup-compatibility/2006">
      <mc:Choice xmlns:hs="http://schemas.haansoft.com/office/spreadsheet/8.0" Requires="hs">
        <x:xf numFmtId="0" fontId="2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75" fontId="2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75" fontId="2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38" fillId="0" borderId="2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38" fillId="0" borderId="2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1" fillId="0"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21" fillId="0" borderId="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1" fillId="0" borderId="1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21" fillId="0" borderId="1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38" fillId="0"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38" fillId="0"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1"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21"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1" fillId="0" borderId="1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21" fillId="0" borderId="1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39"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9"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39"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9"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39" fillId="0" borderId="1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9" fillId="0" borderId="1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6" fontId="20" fillId="0" borderId="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6" fontId="20" fillId="0" borderId="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76" fontId="20" fillId="0"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6" fontId="20" fillId="0"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76" fontId="20" fillId="0" borderId="1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6" fontId="20" fillId="0" borderId="1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0" fillId="0" borderId="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0" fillId="0" borderId="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0" fillId="0" borderId="2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0" fillId="0" borderId="2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6" fontId="20" fillId="0" borderId="2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66" fontId="20" fillId="0" borderId="2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66" fontId="20" fillId="0"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66" fontId="20" fillId="0"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0"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8" xfId="0" applyNumberFormat="1" applyFont="1" applyBorder="1" applyAlignment="1">
          <x:alignment horizontal="center" vertical="center"/>
        </x:xf>
      </mc:Fallback>
    </mc:AlternateContent>
    <x:xf numFmtId="0" fontId="7" fillId="0" borderId="12" xfId="0" applyNumberFormat="1" applyFont="1" applyBorder="1" applyAlignment="1">
      <x:alignment horizontal="left" vertical="center"/>
    </x:xf>
    <x:xf numFmtId="0" fontId="7" fillId="0" borderId="0" xfId="0" applyNumberFormat="1" applyFont="1" applyBorder="1" applyAlignment="1">
      <x:alignment horizontal="left" vertical="center"/>
    </x:xf>
    <x:xf numFmtId="0" fontId="7" fillId="0" borderId="18" xfId="0" applyNumberFormat="1" applyFont="1" applyBorder="1" applyAlignment="1">
      <x:alignment horizontal="left" vertical="center"/>
    </x:xf>
    <mc:AlternateContent xmlns:mc="http://schemas.openxmlformats.org/markup-compatibility/2006">
      <mc:Choice xmlns:hs="http://schemas.haansoft.com/office/spreadsheet/8.0" Requires="hs">
        <x:xf numFmtId="0" fontId="18"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4"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71" fontId="11"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11" fillId="0"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11" fillId="0" borderId="1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1" fillId="0" borderId="1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11" fillId="0"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1" fillId="0" borderId="1" xfId="0" applyNumberFormat="1" applyFont="1" applyFill="1" applyBorder="1" applyAlignment="1">
          <x:alignment horizontal="center" vertical="center"/>
        </x:xf>
      </mc:Fallback>
    </mc:AlternateContent>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drawings/_rels/drawing287.xml.rels><?xml version="1.0" encoding="UTF-8" standalone="yes" ?><Relationships xmlns="http://schemas.openxmlformats.org/package/2006/relationships"><Relationship Id="rId1" Type="http://schemas.openxmlformats.org/officeDocument/2006/relationships/image" Target="../media/image123.png"  /><Relationship Id="rId2" Type="http://schemas.openxmlformats.org/officeDocument/2006/relationships/image" Target="../media/image124.png"  /></Relationships>
</file>

<file path=xl/drawings/_rels/drawing288.xml.rels><?xml version="1.0" encoding="UTF-8" standalone="yes" ?><Relationships xmlns="http://schemas.openxmlformats.org/package/2006/relationships"><Relationship Id="rId1" Type="http://schemas.openxmlformats.org/officeDocument/2006/relationships/image" Target="../media/image125.png"  /></Relationships>
</file>

<file path=xl/drawings/_rels/drawing289.xml.rels><?xml version="1.0" encoding="UTF-8" standalone="yes" ?><Relationships xmlns="http://schemas.openxmlformats.org/package/2006/relationships"><Relationship Id="rId1" Type="http://schemas.openxmlformats.org/officeDocument/2006/relationships/image" Target="../media/image125.png"  /></Relationships>
</file>

<file path=xl/drawings/_rels/drawing290.xml.rels><?xml version="1.0" encoding="UTF-8" standalone="yes" ?><Relationships xmlns="http://schemas.openxmlformats.org/package/2006/relationships"><Relationship Id="rId1" Type="http://schemas.openxmlformats.org/officeDocument/2006/relationships/image" Target="../media/image125.png"  /></Relationships>
</file>

<file path=xl/drawings/_rels/drawing291.xml.rels><?xml version="1.0" encoding="UTF-8" standalone="yes" ?><Relationships xmlns="http://schemas.openxmlformats.org/package/2006/relationships"><Relationship Id="rId1" Type="http://schemas.openxmlformats.org/officeDocument/2006/relationships/image" Target="../media/image125.png"  /></Relationships>
</file>

<file path=xl/drawings/_rels/drawing292.xml.rels><?xml version="1.0" encoding="UTF-8" standalone="yes" ?><Relationships xmlns="http://schemas.openxmlformats.org/package/2006/relationships"><Relationship Id="rId1" Type="http://schemas.openxmlformats.org/officeDocument/2006/relationships/image" Target="../media/image125.png"  /></Relationships>
</file>

<file path=xl/drawings/_rels/drawing293.xml.rels><?xml version="1.0" encoding="UTF-8" standalone="yes" ?><Relationships xmlns="http://schemas.openxmlformats.org/package/2006/relationships"><Relationship Id="rId1" Type="http://schemas.openxmlformats.org/officeDocument/2006/relationships/image" Target="../media/image125.png"  /></Relationships>
</file>

<file path=xl/drawings/drawing287.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6</xdr:col>
      <xdr:colOff>628650</xdr:colOff>
      <xdr:row>11</xdr:row>
      <xdr:rowOff>0</xdr:rowOff>
    </xdr:from>
    <xdr:to>
      <xdr:col>6</xdr:col>
      <xdr:colOff>1295400</xdr:colOff>
      <xdr:row>14</xdr:row>
      <xdr:rowOff>19050</xdr:rowOff>
    </xdr:to>
    <xdr:pic macro="" fPublished="0">
      <xdr:nvPicPr>
        <xdr:cNvPr id="2" name="그림 2"/>
        <xdr:cNvPicPr>
          <a:picLocks noChangeAspect="1"/>
        </xdr:cNvPicPr>
      </xdr:nvPicPr>
      <xdr:blipFill rotWithShape="1">
        <a:blip r:embed="rId1"/>
        <a:srcRect l="13860" t="12870" r="16830" b="13860"/>
        <a:stretch>
          <a:fillRect/>
        </a:stretch>
      </xdr:blipFill>
      <xdr:spPr>
        <a:xfrm>
          <a:off x="6096000" y="2543175"/>
          <a:ext cx="666750" cy="704850"/>
        </a:xfrm>
        <a:prstGeom prst="rect">
          <a:avLst/>
        </a:prstGeom>
        <a:effectLst>
          <a:softEdge rad="25400"/>
        </a:effectLst>
      </xdr:spPr>
    </xdr:pic>
    <xdr:clientData fLocksWithSheet="1" fPrintsWithSheet="1"/>
  </xdr:twoCellAnchor>
  <xdr:twoCellAnchor editAs="oneCell">
    <xdr:from>
      <xdr:col>6</xdr:col>
      <xdr:colOff>628650</xdr:colOff>
      <xdr:row>21</xdr:row>
      <xdr:rowOff>28575</xdr:rowOff>
    </xdr:from>
    <xdr:to>
      <xdr:col>6</xdr:col>
      <xdr:colOff>1295400</xdr:colOff>
      <xdr:row>24</xdr:row>
      <xdr:rowOff>104775</xdr:rowOff>
    </xdr:to>
    <xdr:pic macro="" fPublished="0">
      <xdr:nvPicPr>
        <xdr:cNvPr id="3" name="그림 3"/>
        <xdr:cNvPicPr/>
      </xdr:nvPicPr>
      <xdr:blipFill rotWithShape="1">
        <a:blip r:embed="rId2"/>
        <a:srcRect l="13860" t="12870" r="16830" b="13860"/>
        <a:stretch>
          <a:fillRect/>
        </a:stretch>
      </xdr:blipFill>
      <xdr:spPr>
        <a:xfrm>
          <a:off x="6096000" y="5295900"/>
          <a:ext cx="666750" cy="704850"/>
        </a:xfrm>
        <a:prstGeom prst="rect">
          <a:avLst/>
        </a:prstGeom>
        <a:effectLst>
          <a:softEdge rad="25400"/>
        </a:effectLst>
      </xdr:spPr>
    </xdr:pic>
    <xdr:clientData fLocksWithSheet="1" fPrintsWithSheet="1"/>
  </xdr:twoCellAnchor>
</xdr:wsDr>
</file>

<file path=xl/drawings/drawing28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15</xdr:col>
      <xdr:colOff>428625</xdr:colOff>
      <xdr:row>20</xdr:row>
      <xdr:rowOff>0</xdr:rowOff>
    </xdr:from>
    <xdr:to>
      <xdr:col>16</xdr:col>
      <xdr:colOff>581025</xdr:colOff>
      <xdr:row>22</xdr:row>
      <xdr:rowOff>238125</xdr:rowOff>
    </xdr:to>
    <xdr:pic macro="" fPublished="0">
      <xdr:nvPicPr>
        <xdr:cNvPr id="2" name="그림 2" descr="공암산성.png"/>
        <xdr:cNvPicPr>
          <a:picLocks noChangeAspect="1"/>
        </xdr:cNvPicPr>
      </xdr:nvPicPr>
      <xdr:blipFill rotWithShape="1">
        <a:blip r:embed="rId1"/>
        <a:stretch>
          <a:fillRect/>
        </a:stretch>
      </xdr:blipFill>
      <xdr:spPr>
        <a:xfrm>
          <a:off x="7905750" y="4691062"/>
          <a:ext cx="738187" cy="738187"/>
        </a:xfrm>
        <a:prstGeom prst="ellipse">
          <a:avLst/>
        </a:prstGeom>
        <a:ln>
          <a:noFill/>
        </a:ln>
        <a:effectLst>
          <a:softEdge rad="112500"/>
        </a:effectLst>
      </xdr:spPr>
    </xdr:pic>
    <xdr:clientData fLocksWithSheet="1" fPrintsWithSheet="1"/>
  </xdr:twoCellAnchor>
</xdr:wsDr>
</file>

<file path=xl/drawings/drawing289.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15</xdr:col>
      <xdr:colOff>428625</xdr:colOff>
      <xdr:row>20</xdr:row>
      <xdr:rowOff>0</xdr:rowOff>
    </xdr:from>
    <xdr:to>
      <xdr:col>16</xdr:col>
      <xdr:colOff>581025</xdr:colOff>
      <xdr:row>22</xdr:row>
      <xdr:rowOff>238125</xdr:rowOff>
    </xdr:to>
    <xdr:pic macro="" fPublished="0">
      <xdr:nvPicPr>
        <xdr:cNvPr id="2" name="그림 2" descr="공암산성.png"/>
        <xdr:cNvPicPr>
          <a:picLocks noChangeAspect="1"/>
        </xdr:cNvPicPr>
      </xdr:nvPicPr>
      <xdr:blipFill rotWithShape="1">
        <a:blip r:embed="rId1"/>
        <a:stretch>
          <a:fillRect/>
        </a:stretch>
      </xdr:blipFill>
      <xdr:spPr>
        <a:xfrm>
          <a:off x="7905750" y="4691062"/>
          <a:ext cx="738187" cy="738187"/>
        </a:xfrm>
        <a:prstGeom prst="ellipse">
          <a:avLst/>
        </a:prstGeom>
        <a:ln>
          <a:noFill/>
        </a:ln>
        <a:effectLst>
          <a:softEdge rad="112500"/>
        </a:effectLst>
      </xdr:spPr>
    </xdr:pic>
    <xdr:clientData fLocksWithSheet="1" fPrintsWithSheet="1"/>
  </xdr:twoCellAnchor>
</xdr:wsDr>
</file>

<file path=xl/drawings/drawing29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15</xdr:col>
      <xdr:colOff>428625</xdr:colOff>
      <xdr:row>20</xdr:row>
      <xdr:rowOff>0</xdr:rowOff>
    </xdr:from>
    <xdr:to>
      <xdr:col>16</xdr:col>
      <xdr:colOff>581025</xdr:colOff>
      <xdr:row>22</xdr:row>
      <xdr:rowOff>238125</xdr:rowOff>
    </xdr:to>
    <xdr:pic macro="" fPublished="0">
      <xdr:nvPicPr>
        <xdr:cNvPr id="2" name="그림 2" descr="공암산성.png"/>
        <xdr:cNvPicPr>
          <a:picLocks noChangeAspect="1"/>
        </xdr:cNvPicPr>
      </xdr:nvPicPr>
      <xdr:blipFill rotWithShape="1">
        <a:blip r:embed="rId1"/>
        <a:stretch>
          <a:fillRect/>
        </a:stretch>
      </xdr:blipFill>
      <xdr:spPr>
        <a:xfrm>
          <a:off x="8274844" y="4691062"/>
          <a:ext cx="738187" cy="738187"/>
        </a:xfrm>
        <a:prstGeom prst="ellipse">
          <a:avLst/>
        </a:prstGeom>
        <a:ln>
          <a:noFill/>
        </a:ln>
        <a:effectLst>
          <a:softEdge rad="112500"/>
        </a:effectLst>
      </xdr:spPr>
    </xdr:pic>
    <xdr:clientData fLocksWithSheet="1" fPrintsWithSheet="1"/>
  </xdr:twoCellAnchor>
</xdr:wsDr>
</file>

<file path=xl/drawings/drawing29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15</xdr:col>
      <xdr:colOff>428625</xdr:colOff>
      <xdr:row>20</xdr:row>
      <xdr:rowOff>0</xdr:rowOff>
    </xdr:from>
    <xdr:to>
      <xdr:col>16</xdr:col>
      <xdr:colOff>581025</xdr:colOff>
      <xdr:row>22</xdr:row>
      <xdr:rowOff>238125</xdr:rowOff>
    </xdr:to>
    <xdr:pic macro="" fPublished="0">
      <xdr:nvPicPr>
        <xdr:cNvPr id="2" name="그림 2" descr="공암산성.png"/>
        <xdr:cNvPicPr>
          <a:picLocks noChangeAspect="1"/>
        </xdr:cNvPicPr>
      </xdr:nvPicPr>
      <xdr:blipFill rotWithShape="1">
        <a:blip r:embed="rId1"/>
        <a:stretch>
          <a:fillRect/>
        </a:stretch>
      </xdr:blipFill>
      <xdr:spPr>
        <a:xfrm>
          <a:off x="8155781" y="4691062"/>
          <a:ext cx="738187" cy="738187"/>
        </a:xfrm>
        <a:prstGeom prst="ellipse">
          <a:avLst/>
        </a:prstGeom>
        <a:ln>
          <a:noFill/>
        </a:ln>
        <a:effectLst>
          <a:softEdge rad="112500"/>
        </a:effectLst>
      </xdr:spPr>
    </xdr:pic>
    <xdr:clientData fLocksWithSheet="1" fPrintsWithSheet="1"/>
  </xdr:twoCellAnchor>
</xdr:wsDr>
</file>

<file path=xl/drawings/drawing29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15</xdr:col>
      <xdr:colOff>428625</xdr:colOff>
      <xdr:row>20</xdr:row>
      <xdr:rowOff>0</xdr:rowOff>
    </xdr:from>
    <xdr:to>
      <xdr:col>16</xdr:col>
      <xdr:colOff>581025</xdr:colOff>
      <xdr:row>22</xdr:row>
      <xdr:rowOff>238125</xdr:rowOff>
    </xdr:to>
    <xdr:pic macro="" fPublished="0">
      <xdr:nvPicPr>
        <xdr:cNvPr id="2" name="그림 2" descr="공암산성.png"/>
        <xdr:cNvPicPr>
          <a:picLocks noChangeAspect="1"/>
        </xdr:cNvPicPr>
      </xdr:nvPicPr>
      <xdr:blipFill rotWithShape="1">
        <a:blip r:embed="rId1"/>
        <a:stretch>
          <a:fillRect/>
        </a:stretch>
      </xdr:blipFill>
      <xdr:spPr>
        <a:xfrm>
          <a:off x="8024812" y="4691062"/>
          <a:ext cx="738187" cy="738187"/>
        </a:xfrm>
        <a:prstGeom prst="ellipse">
          <a:avLst/>
        </a:prstGeom>
        <a:ln>
          <a:noFill/>
        </a:ln>
        <a:effectLst>
          <a:softEdge rad="112500"/>
        </a:effectLst>
      </xdr:spPr>
    </xdr:pic>
    <xdr:clientData fLocksWithSheet="1" fPrintsWithSheet="1"/>
  </xdr:twoCellAnchor>
</xdr:wsDr>
</file>

<file path=xl/drawings/drawing29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15</xdr:col>
      <xdr:colOff>428625</xdr:colOff>
      <xdr:row>20</xdr:row>
      <xdr:rowOff>0</xdr:rowOff>
    </xdr:from>
    <xdr:to>
      <xdr:col>16</xdr:col>
      <xdr:colOff>581025</xdr:colOff>
      <xdr:row>22</xdr:row>
      <xdr:rowOff>238125</xdr:rowOff>
    </xdr:to>
    <xdr:pic macro="" fPublished="0">
      <xdr:nvPicPr>
        <xdr:cNvPr id="2" name="그림 2" descr="공암산성.png"/>
        <xdr:cNvPicPr>
          <a:picLocks noChangeAspect="1"/>
        </xdr:cNvPicPr>
      </xdr:nvPicPr>
      <xdr:blipFill rotWithShape="1">
        <a:blip r:embed="rId1"/>
        <a:stretch>
          <a:fillRect/>
        </a:stretch>
      </xdr:blipFill>
      <xdr:spPr>
        <a:xfrm>
          <a:off x="8001000" y="4691062"/>
          <a:ext cx="738187" cy="738187"/>
        </a:xfrm>
        <a:prstGeom prst="ellipse">
          <a:avLst/>
        </a:prstGeom>
        <a:ln>
          <a:noFill/>
        </a:ln>
        <a:effectLst>
          <a:softEdge rad="112500"/>
        </a:effectLst>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drawing" Target="../drawings/drawing287.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88.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89.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90.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91.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92.xml"  /></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93.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0"/>
  <x:dimension ref="A2:M30"/>
  <x:sheetViews>
    <x:sheetView topLeftCell="A1" zoomScale="80" zoomScaleNormal="80" zoomScaleSheetLayoutView="75" workbookViewId="0">
      <x:selection activeCell="G9" activeCellId="0" sqref="G9:G9"/>
    </x:sheetView>
  </x:sheetViews>
  <x:sheetFormatPr defaultColWidth="9.00390625" defaultRowHeight="23.5"/>
  <x:cols>
    <x:col min="1" max="1" width="1.875" style="10" customWidth="1"/>
    <x:col min="2" max="2" width="3.25" style="10" customWidth="1"/>
    <x:col min="3" max="3" width="22.125" style="8" customWidth="1"/>
    <x:col min="4" max="4" width="26.875" style="9" customWidth="1"/>
    <x:col min="5" max="5" width="3.25" style="9" customWidth="1"/>
    <x:col min="6" max="6" width="1.875" style="9" customWidth="1"/>
    <x:col min="7" max="7" width="13.25" style="9" bestFit="1" customWidth="1"/>
    <x:col min="8" max="8" width="14.875" style="9" bestFit="1" customWidth="1"/>
    <x:col min="9" max="9" width="14.375" style="9" bestFit="1" customWidth="1"/>
    <x:col min="10" max="10" width="13.25" style="9" bestFit="1" customWidth="1"/>
    <x:col min="11" max="11" width="9.5" style="9" bestFit="1" customWidth="1"/>
    <x:col min="12" max="12" width="8.75" style="9" bestFit="1" customWidth="1"/>
    <x:col min="13" max="16383" width="9" style="9"/>
    <x:col min="16384" max="16384" width="9.00390625" style="9"/>
  </x:cols>
  <x:sheetData>
    <x:row r="1" ht="11.25" customHeight="1"/>
    <x:row r="2" spans="1:13" ht="39.75" customHeight="1">
      <x:c r="A2" s="64"/>
      <x:c r="B2" s="64"/>
      <x:c r="C2" s="162" t="s">
        <x:v>206</x:v>
      </x:c>
      <x:c r="D2" s="163"/>
      <x:c r="G2" s="11"/>
      <x:c r="H2" s="11"/>
      <x:c r="I2" s="11"/>
      <x:c r="J2" s="11"/>
      <x:c r="K2" s="11"/>
      <x:c r="L2" s="11"/>
      <x:c r="M2" s="11"/>
    </x:row>
    <x:row r="3" spans="1:13" s="10" customFormat="1" ht="11.25" customHeight="1">
      <x:c r="A3" s="65"/>
      <x:c r="B3" s="65"/>
      <x:c r="C3" s="65"/>
      <x:c r="D3" s="65"/>
      <x:c r="E3" s="66"/>
      <x:c r="F3" s="66"/>
      <x:c r="G3" s="67"/>
      <x:c r="H3" s="67"/>
      <x:c r="I3" s="67"/>
      <x:c r="J3" s="67"/>
      <x:c r="K3" s="67"/>
      <x:c r="L3" s="67"/>
      <x:c r="M3" s="67"/>
    </x:row>
    <x:row r="4" spans="1:12" s="9" customFormat="1" ht="19.5" customHeight="1">
      <x:c r="A4" s="10"/>
      <x:c r="B4" s="10"/>
      <x:c r="C4" s="68" t="s">
        <x:v>25</x:v>
      </x:c>
      <x:c r="D4" s="69">
        <x:v>46060</x:v>
      </x:c>
      <x:c r="G4" s="11"/>
      <x:c r="H4" s="11"/>
      <x:c r="I4" s="11"/>
      <x:c r="J4" s="11"/>
      <x:c r="K4" s="11"/>
      <x:c r="L4" s="11"/>
    </x:row>
    <x:row r="5" spans="1:12" s="9" customFormat="1" ht="19.5" customHeight="1">
      <x:c r="A5" s="10"/>
      <x:c r="B5" s="10"/>
      <x:c r="C5" s="68" t="s">
        <x:v>33</x:v>
      </x:c>
      <x:c r="D5" s="69">
        <x:f>D4+29</x:f>
        <x:v>46089</x:v>
      </x:c>
      <x:c r="G5" s="11"/>
      <x:c r="H5" s="11"/>
      <x:c r="I5" s="11"/>
      <x:c r="J5" s="11"/>
      <x:c r="K5" s="11"/>
      <x:c r="L5" s="11"/>
    </x:row>
    <x:row r="6" spans="1:12" s="9" customFormat="1" ht="11.25" customHeight="1">
      <x:c r="A6" s="10"/>
      <x:c r="B6" s="10"/>
      <x:c r="C6" s="68"/>
      <x:c r="D6" s="69"/>
      <x:c r="G6" s="11"/>
      <x:c r="H6" s="11"/>
      <x:c r="I6" s="11"/>
      <x:c r="J6" s="11"/>
      <x:c r="K6" s="11"/>
      <x:c r="L6" s="11"/>
    </x:row>
    <x:row r="7" spans="3:4" ht="19.5" customHeight="1">
      <x:c r="C7" s="70" t="s">
        <x:v>99</x:v>
      </x:c>
      <x:c r="D7" s="71">
        <x:v>38000</x:v>
      </x:c>
    </x:row>
    <x:row r="8" spans="3:4" ht="19.5" customHeight="1">
      <x:c r="C8" s="70" t="s">
        <x:v>30</x:v>
      </x:c>
      <x:c r="D8" s="71">
        <x:v>38000</x:v>
      </x:c>
    </x:row>
    <x:row r="9" spans="3:4" ht="19.5" customHeight="1">
      <x:c r="C9" s="70" t="s">
        <x:v>12</x:v>
      </x:c>
      <x:c r="D9" s="71">
        <x:v>38000</x:v>
      </x:c>
    </x:row>
    <x:row r="10" spans="3:4" ht="19.5" customHeight="1">
      <x:c r="C10" s="70" t="s">
        <x:v>97</x:v>
      </x:c>
      <x:c r="D10" s="71">
        <x:v>38000</x:v>
      </x:c>
    </x:row>
    <x:row r="11" spans="3:4" ht="19.5" customHeight="1">
      <x:c r="C11" s="70" t="s">
        <x:v>94</x:v>
      </x:c>
      <x:c r="D11" s="71">
        <x:v>38000</x:v>
      </x:c>
    </x:row>
    <x:row r="12" spans="3:6" s="10" customFormat="1" ht="19.5" customHeight="1">
      <x:c r="C12" s="70" t="s">
        <x:v>67</x:v>
      </x:c>
      <x:c r="D12" s="71">
        <x:v>38000</x:v>
      </x:c>
      <x:c r="E12" s="9"/>
      <x:c r="F12" s="9"/>
    </x:row>
    <x:row r="13" spans="3:4" ht="19.5" customHeight="1">
      <x:c r="C13" s="70" t="s">
        <x:v>13</x:v>
      </x:c>
      <x:c r="D13" s="71">
        <x:v>30000</x:v>
      </x:c>
    </x:row>
    <x:row r="14" spans="3:4" ht="19.5" customHeight="1">
      <x:c r="C14" s="70" t="s">
        <x:v>54</x:v>
      </x:c>
      <x:c r="D14" s="71">
        <x:v>32000</x:v>
      </x:c>
    </x:row>
    <x:row r="15" spans="3:4" ht="11.25" customHeight="1">
      <x:c r="C15" s="72"/>
      <x:c r="D15" s="73"/>
    </x:row>
    <x:row r="16" spans="3:4" ht="19.5" customHeight="1">
      <x:c r="C16" s="74" t="s">
        <x:v>151</x:v>
      </x:c>
      <x:c r="D16" s="75">
        <x:v>280000</x:v>
      </x:c>
    </x:row>
    <x:row r="17" spans="1:12" s="9" customFormat="1" ht="19.5" customHeight="1">
      <x:c r="A17" s="10"/>
      <x:c r="B17" s="10"/>
      <x:c r="C17" s="74" t="s">
        <x:v>185</x:v>
      </x:c>
      <x:c r="D17" s="76">
        <x:f>'1'!H37+'2'!H37+'4'!H37+'6'!H37</x:f>
        <x:v>294460</x:v>
      </x:c>
      <x:c r="G17" s="152"/>
      <x:c r="H17" s="11"/>
      <x:c r="I17" s="11"/>
      <x:c r="J17" s="11"/>
      <x:c r="K17" s="11"/>
      <x:c r="L17" s="11"/>
    </x:row>
    <x:row r="18" spans="1:12" s="9" customFormat="1" ht="19.5" customHeight="1">
      <x:c r="A18" s="10"/>
      <x:c r="B18" s="10"/>
      <x:c r="C18" s="74" t="s">
        <x:v>181</x:v>
      </x:c>
      <x:c r="D18" s="77">
        <x:f>D17/D16</x:f>
        <x:v>1.0516428571428571</x:v>
      </x:c>
      <x:c r="G18" s="11"/>
      <x:c r="H18" s="11"/>
      <x:c r="I18" s="11"/>
      <x:c r="J18" s="11"/>
      <x:c r="K18" s="11"/>
      <x:c r="L18" s="11"/>
    </x:row>
    <x:row r="19" spans="1:12" s="9" customFormat="1" ht="11.25" customHeight="1">
      <x:c r="A19" s="10"/>
      <x:c r="B19" s="10"/>
      <x:c r="C19" s="78"/>
      <x:c r="D19" s="79"/>
      <x:c r="G19" s="11"/>
      <x:c r="H19" s="11"/>
      <x:c r="I19" s="11"/>
      <x:c r="J19" s="11"/>
      <x:c r="K19" s="11"/>
      <x:c r="L19" s="11"/>
    </x:row>
    <x:row r="20" spans="1:12" s="9" customFormat="1" ht="19.5" customHeight="1">
      <x:c r="A20" s="10"/>
      <x:c r="B20" s="10"/>
      <x:c r="C20" s="74" t="s">
        <x:v>175</x:v>
      </x:c>
      <x:c r="D20" s="76">
        <x:f>'1'!G37+'2'!G37+'4'!G37+'6'!G37</x:f>
        <x:v>497110</x:v>
      </x:c>
      <x:c r="G20" s="11"/>
      <x:c r="H20" s="11"/>
      <x:c r="I20" s="11"/>
      <x:c r="J20" s="11"/>
      <x:c r="K20" s="11"/>
      <x:c r="L20" s="11"/>
    </x:row>
    <x:row r="21" spans="1:12" s="9" customFormat="1" ht="19.5" customHeight="1">
      <x:c r="A21" s="10"/>
      <x:c r="B21" s="10"/>
      <x:c r="C21" s="74" t="s">
        <x:v>155</x:v>
      </x:c>
      <x:c r="D21" s="76">
        <x:v>659110</x:v>
      </x:c>
      <x:c r="G21" s="11"/>
      <x:c r="H21" s="11"/>
      <x:c r="I21" s="11"/>
      <x:c r="J21" s="11"/>
      <x:c r="K21" s="11"/>
      <x:c r="L21" s="11"/>
    </x:row>
    <x:row r="22" spans="1:12" s="9" customFormat="1" ht="19.5" customHeight="1">
      <x:c r="A22" s="10"/>
      <x:c r="B22" s="10"/>
      <x:c r="C22" s="74" t="s">
        <x:v>170</x:v>
      </x:c>
      <x:c r="D22" s="80">
        <x:f>D21/D20</x:f>
        <x:v>1.3258836072499045</x:v>
      </x:c>
      <x:c r="G22" s="11"/>
      <x:c r="H22" s="11"/>
      <x:c r="I22" s="11"/>
      <x:c r="J22" s="11"/>
      <x:c r="K22" s="11"/>
      <x:c r="L22" s="11"/>
    </x:row>
    <x:row r="23" spans="1:12" s="9" customFormat="1" ht="11.25" customHeight="1">
      <x:c r="A23" s="10"/>
      <x:c r="B23" s="10"/>
      <x:c r="C23" s="78"/>
      <x:c r="D23" s="81"/>
      <x:c r="G23" s="11"/>
      <x:c r="H23" s="11"/>
      <x:c r="I23" s="11"/>
      <x:c r="J23" s="11"/>
      <x:c r="K23" s="11"/>
      <x:c r="L23" s="11"/>
    </x:row>
    <x:row r="24" spans="3:4" ht="19.5" customHeight="1">
      <x:c r="C24" s="74" t="s">
        <x:v>165</x:v>
      </x:c>
      <x:c r="D24" s="80">
        <x:f>D20/D17</x:f>
        <x:v>1.6882089248115193</x:v>
      </x:c>
    </x:row>
    <x:row r="25" spans="3:4" ht="19.5" customHeight="1">
      <x:c r="C25" s="74" t="s">
        <x:v>166</x:v>
      </x:c>
      <x:c r="D25" s="82">
        <x:f>일령!E9</x:f>
        <x:v>29.654486178088703</x:v>
      </x:c>
    </x:row>
    <x:row r="26" spans="3:4" ht="19.5" customHeight="1">
      <x:c r="C26" s="74" t="s">
        <x:v>186</x:v>
      </x:c>
      <x:c r="D26" s="76">
        <x:f>(D18*D24*100)*100/(D25*D22)</x:f>
        <x:v>451.54253170699411</x:v>
      </x:c>
    </x:row>
    <x:row r="27" spans="3:4">
      <x:c r="C27" s="83"/>
      <x:c r="D27" s="84"/>
    </x:row>
    <x:row r="28" spans="3:4" ht="19.5" customHeight="1">
      <x:c r="C28" s="85" t="s">
        <x:v>138</x:v>
      </x:c>
      <x:c r="D28" s="85" t="s">
        <x:v>176</x:v>
      </x:c>
    </x:row>
    <x:row r="29" spans="3:4" ht="19.5" customHeight="1">
      <x:c r="C29" s="74" t="s">
        <x:v>162</x:v>
      </x:c>
      <x:c r="D29" s="86">
        <x:v>802615</x:v>
      </x:c>
    </x:row>
    <x:row r="30" spans="3:4" ht="19.5" customHeight="1">
      <x:c r="C30" s="74" t="s">
        <x:v>146</x:v>
      </x:c>
      <x:c r="D30" s="74" t="s">
        <x:v>159</x:v>
      </x:c>
    </x:row>
    <x:row r="31" ht="11.25" customHeight="1"/>
  </x:sheetData>
  <x:mergeCells count="1">
    <x:mergeCell ref="C2:D2"/>
  </x:mergeCells>
  <x:printOptions horizontalCentered="1" verticalCentered="0" headings="0" gridLines="0" gridLinesSet="1"/>
  <x:pageMargins left="0" right="0" top="1.042638897895813" bottom="0.74750000238418579" header="0.31486111879348755" footer="0.31486111879348755"/>
  <x:pageSetup paperSize="9" scale="100" firstPageNumber="1" fitToWidth="1" fitToHeight="1"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8"/>
  <x:dimension ref="A1:H31"/>
  <x:sheetViews>
    <x:sheetView tabSelected="1" topLeftCell="A1" zoomScaleNormal="100" zoomScaleSheetLayoutView="75" workbookViewId="0">
      <x:selection activeCell="G10" activeCellId="0" sqref="G10:G10"/>
    </x:sheetView>
  </x:sheetViews>
  <x:sheetFormatPr defaultColWidth="9.00390625" defaultRowHeight="16.399999999999999"/>
  <x:cols>
    <x:col min="1" max="1" width="1.77734375" style="5" customWidth="1"/>
    <x:col min="2" max="2" width="13.5" style="5" customWidth="1"/>
    <x:col min="3" max="3" width="15" style="5" customWidth="1"/>
    <x:col min="4" max="4" width="16.75" style="5" customWidth="1"/>
    <x:col min="5" max="5" width="13.5" style="5" customWidth="1"/>
    <x:col min="6" max="6" width="11.25" style="5" customWidth="1"/>
    <x:col min="7" max="7" width="21.25" style="5" customWidth="1"/>
    <x:col min="8" max="8" width="1.625" style="4" customWidth="1"/>
  </x:cols>
  <x:sheetData>
    <x:row r="1" spans="2:7" ht="10" customHeight="1">
      <x:c r="B1" s="31"/>
      <x:c r="C1" s="31"/>
      <x:c r="D1" s="31"/>
      <x:c r="E1" s="31"/>
      <x:c r="F1" s="31"/>
      <x:c r="G1" s="31"/>
    </x:row>
    <x:row r="2" spans="2:7" ht="28.5" customHeight="1">
      <x:c r="B2" s="164" t="s">
        <x:v>196</x:v>
      </x:c>
      <x:c r="C2" s="164"/>
      <x:c r="D2" s="164"/>
      <x:c r="E2" s="164"/>
      <x:c r="F2" s="164"/>
      <x:c r="G2" s="164"/>
    </x:row>
    <x:row r="3" spans="2:7" ht="18" customHeight="1">
      <x:c r="B3" s="41" t="s">
        <x:v>142</x:v>
      </x:c>
      <x:c r="C3" s="165" t="s">
        <x:v>178</x:v>
      </x:c>
      <x:c r="D3" s="165"/>
      <x:c r="E3" s="42" t="s">
        <x:v>164</x:v>
      </x:c>
      <x:c r="F3" s="165" t="s">
        <x:v>157</x:v>
      </x:c>
      <x:c r="G3" s="166"/>
    </x:row>
    <x:row r="4" spans="2:7" ht="18" customHeight="1">
      <x:c r="B4" s="33" t="s">
        <x:v>171</x:v>
      </x:c>
      <x:c r="C4" s="61" t="s">
        <x:v>2</x:v>
      </x:c>
      <x:c r="D4" s="37"/>
      <x:c r="E4" s="37" t="s">
        <x:v>169</x:v>
      </x:c>
      <x:c r="F4" s="167" t="s">
        <x:v>188</x:v>
      </x:c>
      <x:c r="G4" s="168"/>
    </x:row>
    <x:row r="5" spans="2:7" ht="18" customHeight="1">
      <x:c r="B5" s="33" t="s">
        <x:v>150</x:v>
      </x:c>
      <x:c r="C5" s="167" t="s">
        <x:v>161</x:v>
      </x:c>
      <x:c r="D5" s="167"/>
      <x:c r="E5" s="34" t="s">
        <x:v>62</x:v>
      </x:c>
      <x:c r="F5" s="167" t="s">
        <x:v>187</x:v>
      </x:c>
      <x:c r="G5" s="168"/>
    </x:row>
    <x:row r="6" spans="2:7" ht="18" customHeight="1">
      <x:c r="B6" s="33" t="s">
        <x:v>167</x:v>
      </x:c>
      <x:c r="C6" s="58">
        <x:f ca="1">TODAY()</x:f>
        <x:v>46088</x:v>
      </x:c>
      <x:c r="D6" s="34" t="s">
        <x:v>163</x:v>
      </x:c>
      <x:c r="E6" s="34" t="s">
        <x:v>180</x:v>
      </x:c>
      <x:c r="F6" s="34" t="s">
        <x:v>147</x:v>
      </x:c>
      <x:c r="G6" s="35"/>
    </x:row>
    <x:row r="7" spans="2:8" ht="18" customHeight="1">
      <x:c r="B7" s="38" t="s">
        <x:v>154</x:v>
      </x:c>
      <x:c r="C7" s="39" t="s">
        <x:v>156</x:v>
      </x:c>
      <x:c r="D7" s="39" t="s">
        <x:v>158</x:v>
      </x:c>
      <x:c r="E7" s="39" t="s">
        <x:v>152</x:v>
      </x:c>
      <x:c r="F7" s="39" t="s">
        <x:v>177</x:v>
      </x:c>
      <x:c r="G7" s="40" t="s">
        <x:v>160</x:v>
      </x:c>
      <x:c r="H7" s="2"/>
    </x:row>
    <x:row r="8" spans="2:8" ht="18" customHeight="1">
      <x:c r="B8" s="32" t="s">
        <x:v>6</x:v>
      </x:c>
      <x:c r="C8" s="59">
        <x:f>표지!D4</x:f>
        <x:v>46060</x:v>
      </x:c>
      <x:c r="D8" s="32" t="s">
        <x:v>203</x:v>
      </x:c>
      <x:c r="E8" s="45" t="s">
        <x:v>201</x:v>
      </x:c>
      <x:c r="F8" s="32" t="s">
        <x:v>135</x:v>
      </x:c>
      <x:c r="G8" s="250">
        <x:f>표지!D16</x:f>
        <x:v>280000</x:v>
      </x:c>
      <x:c r="H8" s="2"/>
    </x:row>
    <x:row r="9" spans="2:8" ht="18" customHeight="1">
      <x:c r="B9" s="34" t="s">
        <x:v>19</x:v>
      </x:c>
      <x:c r="C9" s="249">
        <x:f>표지!D4+12</x:f>
        <x:v>46072</x:v>
      </x:c>
      <x:c r="D9" s="34" t="s">
        <x:v>202</x:v>
      </x:c>
      <x:c r="E9" s="34" t="s">
        <x:v>204</x:v>
      </x:c>
      <x:c r="F9" s="34" t="s">
        <x:v>84</x:v>
      </x:c>
      <x:c r="G9" s="251">
        <x:f>표지!D16</x:f>
        <x:v>280000</x:v>
      </x:c>
      <x:c r="H9" s="2"/>
    </x:row>
    <x:row r="10" spans="2:8" ht="18" customHeight="1">
      <x:c r="B10" s="34" t="s">
        <x:v>56</x:v>
      </x:c>
      <x:c r="C10" s="34"/>
      <x:c r="D10" s="34"/>
      <x:c r="E10" s="34"/>
      <x:c r="F10" s="34"/>
      <x:c r="G10" s="251"/>
      <x:c r="H10" s="2"/>
    </x:row>
    <x:row r="11" spans="2:8" ht="18" customHeight="1">
      <x:c r="B11" s="34" t="s">
        <x:v>106</x:v>
      </x:c>
      <x:c r="C11" s="34"/>
      <x:c r="D11" s="34"/>
      <x:c r="E11" s="34"/>
      <x:c r="F11" s="34"/>
      <x:c r="G11" s="251"/>
      <x:c r="H11" s="2"/>
    </x:row>
    <x:row r="12" spans="2:8" ht="18" customHeight="1">
      <x:c r="B12" s="169" t="s">
        <x:v>130</x:v>
      </x:c>
      <x:c r="C12" s="169"/>
      <x:c r="D12" s="169"/>
      <x:c r="E12" s="169"/>
      <x:c r="F12" s="169"/>
      <x:c r="G12" s="169"/>
      <x:c r="H12" s="2"/>
    </x:row>
    <x:row r="13" spans="2:7" ht="18" customHeight="1">
      <x:c r="B13" s="48"/>
      <x:c r="C13" s="47"/>
      <x:c r="D13" s="47"/>
      <x:c r="E13" s="170">
        <x:f>C6</x:f>
        <x:v>46088</x:v>
      </x:c>
      <x:c r="F13" s="170"/>
      <x:c r="G13" s="171"/>
    </x:row>
    <x:row r="14" spans="2:7" ht="18" customHeight="1">
      <x:c r="B14" s="49"/>
      <x:c r="C14" s="50"/>
      <x:c r="D14" s="172" t="s">
        <x:v>131</x:v>
      </x:c>
      <x:c r="E14" s="172"/>
      <x:c r="F14" s="172" t="s">
        <x:v>136</x:v>
      </x:c>
      <x:c r="G14" s="173"/>
    </x:row>
    <x:row r="15" spans="1:7" ht="22.5" customHeight="1">
      <x:c r="A15" s="36"/>
      <x:c r="B15" s="174" t="s">
        <x:v>174</x:v>
      </x:c>
      <x:c r="C15" s="174"/>
      <x:c r="D15" s="174"/>
      <x:c r="E15" s="174"/>
      <x:c r="F15" s="174"/>
      <x:c r="G15" s="174"/>
    </x:row>
    <x:row r="16" spans="1:7" ht="15" customHeight="1">
      <x:c r="A16" s="36"/>
      <x:c r="B16" s="175" t="s">
        <x:v>128</x:v>
      </x:c>
      <x:c r="C16" s="176"/>
      <x:c r="D16" s="176"/>
      <x:c r="E16" s="176"/>
      <x:c r="F16" s="176"/>
      <x:c r="G16" s="176"/>
    </x:row>
    <x:row r="17" spans="1:7" ht="21" customHeight="1">
      <x:c r="A17" s="36"/>
      <x:c r="B17" s="57" t="s">
        <x:v>179</x:v>
      </x:c>
      <x:c r="C17" s="177"/>
      <x:c r="D17" s="178"/>
      <x:c r="E17" s="57" t="s">
        <x:v>77</x:v>
      </x:c>
      <x:c r="F17" s="179" t="s">
        <x:v>133</x:v>
      </x:c>
      <x:c r="G17" s="180"/>
    </x:row>
    <x:row r="18" spans="1:8" ht="45" customHeight="1">
      <x:c r="A18" s="36"/>
      <x:c r="B18" s="181" t="s">
        <x:v>183</x:v>
      </x:c>
      <x:c r="C18" s="183" t="s">
        <x:v>132</x:v>
      </x:c>
      <x:c r="D18" s="184"/>
      <x:c r="E18" s="44" t="s">
        <x:v>63</x:v>
      </x:c>
      <x:c r="F18" s="185" t="s">
        <x:v>137</x:v>
      </x:c>
      <x:c r="G18" s="186"/>
      <x:c r="H18" s="2"/>
    </x:row>
    <x:row r="19" spans="1:8" s="4" customFormat="1" ht="22.5" customHeight="1">
      <x:c r="A19" s="36"/>
      <x:c r="B19" s="182"/>
      <x:c r="C19" s="187" t="s">
        <x:v>161</x:v>
      </x:c>
      <x:c r="D19" s="182"/>
      <x:c r="E19" s="46">
        <x:v>87000</x:v>
      </x:c>
      <x:c r="F19" s="188" t="s">
        <x:v>205</x:v>
      </x:c>
      <x:c r="G19" s="189"/>
      <x:c r="H19" s="60"/>
    </x:row>
    <x:row r="20" spans="1:8" ht="22.5" customHeight="1">
      <x:c r="A20" s="36"/>
      <x:c r="B20" s="182"/>
      <x:c r="C20" s="187"/>
      <x:c r="D20" s="190"/>
      <x:c r="E20" s="43"/>
      <x:c r="F20" s="191"/>
      <x:c r="G20" s="192"/>
      <x:c r="H20" s="2"/>
    </x:row>
    <x:row r="21" spans="1:7" s="4" customFormat="1" ht="12" customHeight="1">
      <x:c r="A21" s="36"/>
      <x:c r="B21" s="193" t="s">
        <x:v>1</x:v>
      </x:c>
      <x:c r="C21" s="194"/>
      <x:c r="D21" s="194"/>
      <x:c r="E21" s="194"/>
      <x:c r="F21" s="194"/>
      <x:c r="G21" s="195"/>
    </x:row>
    <x:row r="22" spans="1:7" ht="12" customHeight="1">
      <x:c r="A22" s="36"/>
      <x:c r="B22" s="196" t="s">
        <x:v>3</x:v>
      </x:c>
      <x:c r="C22" s="197"/>
      <x:c r="D22" s="197"/>
      <x:c r="E22" s="197"/>
      <x:c r="F22" s="197"/>
      <x:c r="G22" s="198"/>
    </x:row>
    <x:row r="23" spans="1:8" ht="16.5" customHeight="1">
      <x:c r="A23" s="36"/>
      <x:c r="B23" s="55"/>
      <x:c r="C23" s="56"/>
      <x:c r="D23" s="56"/>
      <x:c r="E23" s="56"/>
      <x:c r="F23" s="199">
        <x:f>C6</x:f>
        <x:v>46088</x:v>
      </x:c>
      <x:c r="G23" s="200"/>
      <x:c r="H23" s="56"/>
    </x:row>
    <x:row r="24" spans="1:7" ht="21" customHeight="1">
      <x:c r="A24" s="36"/>
      <x:c r="B24" s="201" t="s">
        <x:v>141</x:v>
      </x:c>
      <x:c r="C24" s="202"/>
      <x:c r="D24" s="202"/>
      <x:c r="E24" s="202"/>
      <x:c r="F24" s="203" t="s">
        <x:v>191</x:v>
      </x:c>
      <x:c r="G24" s="204"/>
    </x:row>
    <x:row r="25" spans="1:7">
      <x:c r="A25" s="36"/>
      <x:c r="B25" s="205" t="s">
        <x:v>0</x:v>
      </x:c>
      <x:c r="C25" s="197"/>
      <x:c r="D25" s="197"/>
      <x:c r="E25" s="197"/>
      <x:c r="F25" s="197"/>
      <x:c r="G25" s="198"/>
    </x:row>
    <x:row r="26" spans="1:7" s="4" customFormat="1" ht="16.5" customHeight="1">
      <x:c r="A26" s="36"/>
      <x:c r="B26" s="54"/>
      <x:c r="C26" s="53"/>
      <x:c r="D26" s="53"/>
      <x:c r="E26" s="53"/>
      <x:c r="F26" s="206" t="s">
        <x:v>200</x:v>
      </x:c>
      <x:c r="G26" s="207"/>
    </x:row>
    <x:row r="27" spans="1:7" ht="21" customHeight="1">
      <x:c r="A27" s="36"/>
      <x:c r="B27" s="208" t="s">
        <x:v>190</x:v>
      </x:c>
      <x:c r="C27" s="202"/>
      <x:c r="D27" s="209"/>
      <x:c r="E27" s="210"/>
      <x:c r="F27" s="211" t="s">
        <x:v>139</x:v>
      </x:c>
      <x:c r="G27" s="212"/>
    </x:row>
    <x:row r="28" spans="1:7" ht="24.75" customHeight="1">
      <x:c r="A28" s="36"/>
      <x:c r="B28" s="213" t="s">
        <x:v>199</x:v>
      </x:c>
      <x:c r="C28" s="214"/>
      <x:c r="D28" s="214"/>
      <x:c r="E28" s="51"/>
      <x:c r="F28" s="51"/>
      <x:c r="G28" s="52"/>
    </x:row>
    <x:row r="29" spans="1:7" ht="20.25" customHeight="1">
      <x:c r="A29" s="36"/>
      <x:c r="B29" s="215" t="s">
        <x:v>173</x:v>
      </x:c>
      <x:c r="C29" s="216"/>
      <x:c r="D29" s="216"/>
      <x:c r="E29" s="216"/>
      <x:c r="F29" s="216"/>
      <x:c r="G29" s="217"/>
    </x:row>
    <x:row r="30" spans="1:7" ht="174.75" customHeight="1">
      <x:c r="A30" s="4"/>
      <x:c r="B30" s="218" t="s">
        <x:v>129</x:v>
      </x:c>
      <x:c r="C30" s="219"/>
      <x:c r="D30" s="219"/>
      <x:c r="E30" s="219"/>
      <x:c r="F30" s="219"/>
      <x:c r="G30" s="220"/>
    </x:row>
    <x:row r="31" spans="1:7">
      <x:c r="A31" s="4"/>
      <x:c r="B31" s="4"/>
      <x:c r="C31" s="4"/>
      <x:c r="D31" s="4"/>
      <x:c r="E31" s="4"/>
      <x:c r="F31" s="4"/>
      <x:c r="G31" s="4"/>
    </x:row>
  </x:sheetData>
  <x:mergeCells count="33">
    <x:mergeCell ref="B2:G2"/>
    <x:mergeCell ref="C3:D3"/>
    <x:mergeCell ref="F3:G3"/>
    <x:mergeCell ref="F4:G4"/>
    <x:mergeCell ref="C5:D5"/>
    <x:mergeCell ref="F5:G5"/>
    <x:mergeCell ref="B12:G12"/>
    <x:mergeCell ref="E13:G13"/>
    <x:mergeCell ref="D14:E14"/>
    <x:mergeCell ref="F14:G14"/>
    <x:mergeCell ref="B15:G15"/>
    <x:mergeCell ref="B16:G16"/>
    <x:mergeCell ref="C17:D17"/>
    <x:mergeCell ref="F17:G17"/>
    <x:mergeCell ref="B18:B20"/>
    <x:mergeCell ref="C18:D18"/>
    <x:mergeCell ref="F18:G18"/>
    <x:mergeCell ref="C19:D19"/>
    <x:mergeCell ref="F19:G19"/>
    <x:mergeCell ref="C20:D20"/>
    <x:mergeCell ref="F20:G20"/>
    <x:mergeCell ref="B21:G21"/>
    <x:mergeCell ref="B22:G22"/>
    <x:mergeCell ref="F23:G23"/>
    <x:mergeCell ref="B24:E24"/>
    <x:mergeCell ref="F24:G24"/>
    <x:mergeCell ref="B25:G25"/>
    <x:mergeCell ref="F26:G26"/>
    <x:mergeCell ref="B27:E27"/>
    <x:mergeCell ref="F27:G27"/>
    <x:mergeCell ref="B28:D28"/>
    <x:mergeCell ref="B29:G29"/>
    <x:mergeCell ref="B30:G30"/>
  </x:mergeCells>
  <x:pageMargins left="0.075138889253139496" right="0.058472223579883575" top="0.61722224950790405" bottom="0.14222222566604614" header="0.28527778387069702" footer="0.16027778387069702"/>
  <x:pageSetup paperSize="9" scale="100" firstPageNumber="1" fitToWidth="0" fitToHeight="0" orientation="portrait" usePrinterDefaults="1" blackAndWhite="0" draft="0" useFirstPageNumber="0" horizontalDpi="600" verticalDpi="600" copies="1"/>
  <x:drawing r:id="rId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11"/>
  <x:dimension ref="A1:R51"/>
  <x:sheetViews>
    <x:sheetView topLeftCell="A1" zoomScale="80" zoomScaleNormal="80" zoomScaleSheetLayoutView="75" workbookViewId="0">
      <x:selection activeCell="G41" activeCellId="0" sqref="G41:G41"/>
    </x:sheetView>
  </x:sheetViews>
  <x:sheetFormatPr defaultColWidth="9.00390625" defaultRowHeight="23.5"/>
  <x:cols>
    <x:col min="1" max="1" width="1.875" style="9" customWidth="1"/>
    <x:col min="2" max="2" width="5.4296875" style="9" bestFit="1" customWidth="1"/>
    <x:col min="3" max="3" width="6.6953125" style="9" bestFit="1" customWidth="1"/>
    <x:col min="4" max="4" width="7.8046875" style="9" bestFit="1" customWidth="1"/>
    <x:col min="5" max="5" width="9.05859375" style="9" bestFit="1" customWidth="1"/>
    <x:col min="6" max="6" width="7.640625" style="9" bestFit="1" customWidth="1"/>
    <x:col min="7" max="8" width="9.05859375" style="9" bestFit="1" customWidth="1"/>
    <x:col min="9" max="9" width="7.8046875" style="9" bestFit="1" customWidth="1"/>
    <x:col min="10" max="10" width="5.4296875" style="13" bestFit="1" customWidth="1"/>
    <x:col min="11" max="12" width="5.4296875" style="9" bestFit="1" customWidth="1"/>
    <x:col min="13" max="13" width="1.875" style="11" customWidth="1"/>
    <x:col min="14" max="14" width="9.8515625" style="11" bestFit="1" customWidth="1"/>
    <x:col min="15" max="15" width="6.0625" style="11" bestFit="1" customWidth="1"/>
    <x:col min="16" max="16" width="7.640625" style="11" bestFit="1" customWidth="1"/>
    <x:col min="17" max="17" width="10.375" style="11" customWidth="1"/>
    <x:col min="18" max="18" width="1.875" style="89" customWidth="1"/>
    <x:col min="19" max="21" width="9" style="11"/>
    <x:col min="22" max="22" width="3.125" style="11" customWidth="1"/>
    <x:col min="23" max="16294" width="9" style="11"/>
    <x:col min="16295" max="16384" width="9.00390625" style="11"/>
  </x:cols>
  <x:sheetData>
    <x:row r="1" spans="2:12" ht="11.25" customHeight="1">
      <x:c r="B1" s="90"/>
      <x:c r="C1" s="90"/>
      <x:c r="D1" s="90"/>
      <x:c r="E1" s="90"/>
      <x:c r="F1" s="90"/>
      <x:c r="G1" s="90"/>
      <x:c r="H1" s="90"/>
      <x:c r="I1" s="90"/>
      <x:c r="J1" s="91"/>
      <x:c r="K1" s="90"/>
      <x:c r="L1" s="90"/>
    </x:row>
    <x:row r="2" spans="2:12" ht="19.5" customHeight="1">
      <x:c r="B2" s="221" t="s">
        <x:v>207</x:v>
      </x:c>
      <x:c r="C2" s="221"/>
      <x:c r="D2" s="221"/>
      <x:c r="E2" s="221"/>
      <x:c r="F2" s="221"/>
      <x:c r="G2" s="221"/>
      <x:c r="H2" s="221"/>
      <x:c r="I2" s="221"/>
      <x:c r="J2" s="221"/>
      <x:c r="K2" s="221"/>
      <x:c r="L2" s="221" t="s">
        <x:v>197</x:v>
      </x:c>
    </x:row>
    <x:row r="3" spans="2:12" ht="11.25" customHeight="1">
      <x:c r="B3" s="92"/>
      <x:c r="C3" s="92"/>
      <x:c r="D3" s="92"/>
      <x:c r="E3" s="92"/>
      <x:c r="F3" s="92"/>
      <x:c r="G3" s="92"/>
      <x:c r="H3" s="92"/>
      <x:c r="I3" s="92"/>
      <x:c r="J3" s="93"/>
      <x:c r="K3" s="92"/>
      <x:c r="L3" s="92"/>
    </x:row>
    <x:row r="4" spans="2:12" ht="19.5" customHeight="1">
      <x:c r="B4" s="222">
        <x:v>46041</x:v>
      </x:c>
      <x:c r="C4" s="222"/>
      <x:c r="D4" s="94"/>
      <x:c r="E4" s="94"/>
      <x:c r="F4" s="95">
        <x:v>27</x:v>
      </x:c>
      <x:c r="G4" s="96" t="s">
        <x:v>103</x:v>
      </x:c>
      <x:c r="H4" s="97">
        <x:v>1.4299999999999999</x:v>
      </x:c>
      <x:c r="I4" s="98" t="s">
        <x:v>108</x:v>
      </x:c>
      <x:c r="J4" s="93"/>
      <x:c r="K4" s="92"/>
      <x:c r="L4" s="92"/>
    </x:row>
    <x:row r="5" spans="2:12" ht="11.25" customHeight="1">
      <x:c r="B5" s="99"/>
      <x:c r="C5" s="92"/>
      <x:c r="D5" s="92"/>
      <x:c r="E5" s="92"/>
      <x:c r="F5" s="92"/>
      <x:c r="G5" s="92"/>
      <x:c r="H5" s="92"/>
      <x:c r="I5" s="99"/>
      <x:c r="J5" s="91"/>
      <x:c r="K5" s="92"/>
      <x:c r="L5" s="92"/>
    </x:row>
    <x:row r="6" spans="2:18" ht="21" customHeight="1">
      <x:c r="B6" s="133" t="s">
        <x:v>105</x:v>
      </x:c>
      <x:c r="C6" s="133" t="s">
        <x:v>50</x:v>
      </x:c>
      <x:c r="D6" s="133" t="s">
        <x:v>4</x:v>
      </x:c>
      <x:c r="E6" s="133" t="s">
        <x:v>58</x:v>
      </x:c>
      <x:c r="F6" s="133" t="s">
        <x:v>14</x:v>
      </x:c>
      <x:c r="G6" s="133" t="s">
        <x:v>7</x:v>
      </x:c>
      <x:c r="H6" s="133" t="s">
        <x:v>75</x:v>
      </x:c>
      <x:c r="I6" s="133" t="s">
        <x:v>104</x:v>
      </x:c>
      <x:c r="J6" s="134" t="s">
        <x:v>5</x:v>
      </x:c>
      <x:c r="K6" s="133" t="s">
        <x:v>102</x:v>
      </x:c>
      <x:c r="L6" s="133" t="s">
        <x:v>21</x:v>
      </x:c>
      <x:c r="N6" s="3"/>
      <x:c r="O6" s="3"/>
      <x:c r="P6" s="3"/>
      <x:c r="Q6" s="3"/>
      <x:c r="R6" s="100"/>
    </x:row>
    <x:row r="7" spans="2:18" ht="19.5" customHeight="1">
      <x:c r="B7" s="133">
        <x:v>1</x:v>
      </x:c>
      <x:c r="C7" s="101">
        <x:v>7126</x:v>
      </x:c>
      <x:c r="D7" s="102">
        <x:v>8140</x:v>
      </x:c>
      <x:c r="E7" s="103">
        <x:v>12735</x:v>
      </x:c>
      <x:c r="F7" s="104" t="str">
        <x:f>IF(C7&lt;&gt;"",VLOOKUP(C7,명단!$C$4:$F$90,2,FALSE),"")</x:f>
        <x:v>전대권</x:v>
      </x:c>
      <x:c r="G7" s="105">
        <x:f>IF(E7="","",E7-D7)</x:f>
        <x:v>4595</x:v>
      </x:c>
      <x:c r="H7" s="105">
        <x:v>3000</x:v>
      </x:c>
      <x:c r="I7" s="106">
        <x:f>IF(G7&lt;&gt;"",G7/H7,"")</x:f>
        <x:v>1.5316666666666667</x:v>
      </x:c>
      <x:c r="J7" s="143">
        <x:v>8</x:v>
      </x:c>
      <x:c r="K7" s="107" t="str">
        <x:f>IF(C7&lt;&gt;"","완료","")</x:f>
        <x:v>완료</x:v>
      </x:c>
      <x:c r="L7" s="101"/>
      <x:c r="N7" s="223" t="s">
        <x:v>148</x:v>
      </x:c>
      <x:c r="O7" s="224"/>
      <x:c r="P7" s="224"/>
      <x:c r="Q7" s="225"/>
      <x:c r="R7" s="108"/>
    </x:row>
    <x:row r="8" spans="2:18" ht="19.5" customHeight="1">
      <x:c r="B8" s="133">
        <x:f>B7+1</x:f>
        <x:v>2</x:v>
      </x:c>
      <x:c r="C8" s="101">
        <x:v>5870</x:v>
      </x:c>
      <x:c r="D8" s="103">
        <x:v>7885</x:v>
      </x:c>
      <x:c r="E8" s="103">
        <x:v>12500</x:v>
      </x:c>
      <x:c r="F8" s="104" t="str">
        <x:f>IF(C8&lt;&gt;"",VLOOKUP(C8,명단!$C$4:$F$90,2,FALSE),"")</x:f>
        <x:v>홍석희</x:v>
      </x:c>
      <x:c r="G8" s="105">
        <x:f>IF(E8="","",E8-D8)</x:f>
        <x:v>4615</x:v>
      </x:c>
      <x:c r="H8" s="105">
        <x:f>IF(G8&lt;&gt;"",$H$7,"")</x:f>
        <x:v>3000</x:v>
      </x:c>
      <x:c r="I8" s="106">
        <x:f>IF(G8&lt;&gt;"",G8/H8,"")</x:f>
        <x:v>1.5383333333333333</x:v>
      </x:c>
      <x:c r="J8" s="143">
        <x:v>8</x:v>
      </x:c>
      <x:c r="K8" s="107" t="str">
        <x:f>IF(C8&lt;&gt;"","완료","")</x:f>
        <x:v>완료</x:v>
      </x:c>
      <x:c r="L8" s="101"/>
      <x:c r="N8" s="226"/>
      <x:c r="O8" s="227"/>
      <x:c r="P8" s="227"/>
      <x:c r="Q8" s="228"/>
      <x:c r="R8" s="108"/>
    </x:row>
    <x:row r="9" spans="2:18" ht="19.5" customHeight="1">
      <x:c r="B9" s="133">
        <x:f>B8+1</x:f>
        <x:v>3</x:v>
      </x:c>
      <x:c r="C9" s="101">
        <x:v>6708</x:v>
      </x:c>
      <x:c r="D9" s="103">
        <x:v>8720</x:v>
      </x:c>
      <x:c r="E9" s="103">
        <x:v>13330</x:v>
      </x:c>
      <x:c r="F9" s="104" t="str">
        <x:f>IF(C9&lt;&gt;"",VLOOKUP(C9,명단!$C$4:$F$90,2,FALSE),"")</x:f>
        <x:v>김성훈</x:v>
      </x:c>
      <x:c r="G9" s="105">
        <x:f>IF(E9="","",E9-D9)</x:f>
        <x:v>4610</x:v>
      </x:c>
      <x:c r="H9" s="105">
        <x:f>IF(G9&lt;&gt;"",$H$7,"")</x:f>
        <x:v>3000</x:v>
      </x:c>
      <x:c r="I9" s="106">
        <x:f>IF(G9&lt;&gt;"",G9/H9,"")</x:f>
        <x:v>1.5366666666666666</x:v>
      </x:c>
      <x:c r="J9" s="143">
        <x:v>8</x:v>
      </x:c>
      <x:c r="K9" s="107" t="str">
        <x:f>IF(C9&lt;&gt;"","완료","")</x:f>
        <x:v>완료</x:v>
      </x:c>
      <x:c r="L9" s="101"/>
      <x:c r="N9" s="229" t="s">
        <x:v>172</x:v>
      </x:c>
      <x:c r="O9" s="230"/>
      <x:c r="P9" s="230"/>
      <x:c r="Q9" s="231"/>
      <x:c r="R9" s="100"/>
    </x:row>
    <x:row r="10" spans="2:18" ht="19.5" customHeight="1">
      <x:c r="B10" s="133">
        <x:f>B9+1</x:f>
        <x:v>4</x:v>
      </x:c>
      <x:c r="C10" s="101">
        <x:v>6219</x:v>
      </x:c>
      <x:c r="D10" s="103">
        <x:v>8465</x:v>
      </x:c>
      <x:c r="E10" s="103">
        <x:v>12880</x:v>
      </x:c>
      <x:c r="F10" s="104" t="str">
        <x:f>IF(C10&lt;&gt;"",VLOOKUP(C10,명단!$C$4:$F$90,2,FALSE),"")</x:f>
        <x:v>김흥수</x:v>
      </x:c>
      <x:c r="G10" s="105">
        <x:f>IF(E10="","",E10-D10)</x:f>
        <x:v>4415</x:v>
      </x:c>
      <x:c r="H10" s="105">
        <x:f>IF(G10&lt;&gt;"",$H$7,"")</x:f>
        <x:v>3000</x:v>
      </x:c>
      <x:c r="I10" s="106">
        <x:f>IF(G10&lt;&gt;"",G10/H10,"")</x:f>
        <x:v>1.4716666666666667</x:v>
      </x:c>
      <x:c r="J10" s="143">
        <x:v>7</x:v>
      </x:c>
      <x:c r="K10" s="107" t="str">
        <x:f>IF(C10&lt;&gt;"","완료","")</x:f>
        <x:v>완료</x:v>
      </x:c>
      <x:c r="L10" s="101"/>
      <x:c r="N10" s="101" t="s">
        <x:v>143</x:v>
      </x:c>
      <x:c r="O10" s="232">
        <x:f ca="1">NOW()</x:f>
        <x:v>46088.592185856483</x:v>
      </x:c>
      <x:c r="P10" s="233"/>
      <x:c r="Q10" s="234"/>
      <x:c r="R10" s="109"/>
    </x:row>
    <x:row r="11" spans="2:18" ht="19.5" customHeight="1">
      <x:c r="B11" s="133">
        <x:f>B10+1</x:f>
        <x:v>5</x:v>
      </x:c>
      <x:c r="C11" s="101">
        <x:v>7609</x:v>
      </x:c>
      <x:c r="D11" s="103">
        <x:v>8175</x:v>
      </x:c>
      <x:c r="E11" s="103">
        <x:v>12560</x:v>
      </x:c>
      <x:c r="F11" s="104" t="str">
        <x:f>IF(C11&lt;&gt;"",VLOOKUP(C11,명단!$C$4:$F$90,2,FALSE),"")</x:f>
        <x:v>홍은택</x:v>
      </x:c>
      <x:c r="G11" s="105">
        <x:f>IF(E11="","",E11-D11)</x:f>
        <x:v>4385</x:v>
      </x:c>
      <x:c r="H11" s="105">
        <x:f>IF(G11&lt;&gt;"",$H$7,"")</x:f>
        <x:v>3000</x:v>
      </x:c>
      <x:c r="I11" s="106">
        <x:f>IF(G11&lt;&gt;"",G11/H11,"")</x:f>
        <x:v>1.4616666666666667</x:v>
      </x:c>
      <x:c r="J11" s="143">
        <x:v>7</x:v>
      </x:c>
      <x:c r="K11" s="107" t="str">
        <x:f>IF(C11&lt;&gt;"","완료","")</x:f>
        <x:v>완료</x:v>
      </x:c>
      <x:c r="L11" s="101"/>
      <x:c r="N11" s="101" t="s">
        <x:v>50</x:v>
      </x:c>
      <x:c r="O11" s="107">
        <x:f>C39</x:f>
        <x:v>8712</x:v>
      </x:c>
      <x:c r="P11" s="107" t="s">
        <x:v>73</x:v>
      </x:c>
      <x:c r="Q11" s="107" t="str">
        <x:f>VLOOKUP(O11,C7:I36,4,0)</x:f>
        <x:v>임종웅</x:v>
      </x:c>
      <x:c r="R11" s="110"/>
    </x:row>
    <x:row r="12" spans="2:18" ht="19.5" customHeight="1">
      <x:c r="B12" s="133">
        <x:f>B11+1</x:f>
        <x:v>6</x:v>
      </x:c>
      <x:c r="C12" s="101">
        <x:v>7030</x:v>
      </x:c>
      <x:c r="D12" s="103">
        <x:v>8625</x:v>
      </x:c>
      <x:c r="E12" s="103">
        <x:v>13030</x:v>
      </x:c>
      <x:c r="F12" s="104" t="str">
        <x:f>IF(C12&lt;&gt;"",VLOOKUP(C12,명단!$C$4:$F$90,2,FALSE),"")</x:f>
        <x:v>이재철</x:v>
      </x:c>
      <x:c r="G12" s="105">
        <x:f>IF(E12="","",E12-D12)</x:f>
        <x:v>4405</x:v>
      </x:c>
      <x:c r="H12" s="105">
        <x:f>IF(G12&lt;&gt;"",$H$7,"")</x:f>
        <x:v>3000</x:v>
      </x:c>
      <x:c r="I12" s="106">
        <x:f>IF(G12&lt;&gt;"",G12/H12,"")</x:f>
        <x:v>1.4683333333333333</x:v>
      </x:c>
      <x:c r="J12" s="143">
        <x:v>7</x:v>
      </x:c>
      <x:c r="K12" s="107" t="str">
        <x:f>IF(C12&lt;&gt;"","완료","")</x:f>
        <x:v>완료</x:v>
      </x:c>
      <x:c r="L12" s="101"/>
      <x:c r="N12" s="101" t="s">
        <x:v>182</x:v>
      </x:c>
      <x:c r="O12" s="235" t="s">
        <x:v>180</x:v>
      </x:c>
      <x:c r="P12" s="235"/>
      <x:c r="Q12" s="235"/>
      <x:c r="R12" s="109"/>
    </x:row>
    <x:row r="13" spans="2:18" ht="19.5" customHeight="1">
      <x:c r="B13" s="133">
        <x:f>B12+1</x:f>
        <x:v>7</x:v>
      </x:c>
      <x:c r="C13" s="101">
        <x:v>6524</x:v>
      </x:c>
      <x:c r="D13" s="103">
        <x:v>8590</x:v>
      </x:c>
      <x:c r="E13" s="103">
        <x:v>13075</x:v>
      </x:c>
      <x:c r="F13" s="104" t="str">
        <x:f>IF(C13&lt;&gt;"",VLOOKUP(C13,명단!$C$4:$F$90,2,FALSE),"")</x:f>
        <x:v>김호찬</x:v>
      </x:c>
      <x:c r="G13" s="105">
        <x:f>IF(E13="","",E13-D13)</x:f>
        <x:v>4485</x:v>
      </x:c>
      <x:c r="H13" s="105">
        <x:f>IF(G13&lt;&gt;"",$H$7,"")</x:f>
        <x:v>3000</x:v>
      </x:c>
      <x:c r="I13" s="106">
        <x:f>IF(G13&lt;&gt;"",G13/H13,"")</x:f>
        <x:v>1.4950000000000001</x:v>
      </x:c>
      <x:c r="J13" s="143">
        <x:v>1</x:v>
      </x:c>
      <x:c r="K13" s="107" t="str">
        <x:f>IF(C13&lt;&gt;"","완료","")</x:f>
        <x:v>완료</x:v>
      </x:c>
      <x:c r="L13" s="101"/>
      <x:c r="N13" s="101" t="s">
        <x:v>93</x:v>
      </x:c>
      <x:c r="O13" s="235" t="s">
        <x:v>82</x:v>
      </x:c>
      <x:c r="P13" s="235"/>
      <x:c r="Q13" s="235"/>
      <x:c r="R13" s="109"/>
    </x:row>
    <x:row r="14" spans="1:18" s="11" customFormat="1" ht="19.5" customHeight="1">
      <x:c r="A14" s="9"/>
      <x:c r="B14" s="133">
        <x:f>B13+1</x:f>
        <x:v>8</x:v>
      </x:c>
      <x:c r="C14" s="101">
        <x:v>4440</x:v>
      </x:c>
      <x:c r="D14" s="103">
        <x:v>8790</x:v>
      </x:c>
      <x:c r="E14" s="103">
        <x:v>13370</x:v>
      </x:c>
      <x:c r="F14" s="104" t="str">
        <x:f>IF(C14&lt;&gt;"",VLOOKUP(C14,명단!$C$4:$F$90,2,FALSE),"")</x:f>
        <x:v>김성용</x:v>
      </x:c>
      <x:c r="G14" s="105">
        <x:f>IF(E14="","",E14-D14)</x:f>
        <x:v>4580</x:v>
      </x:c>
      <x:c r="H14" s="105">
        <x:f>IF(G14&lt;&gt;"",$H$7,"")</x:f>
        <x:v>3000</x:v>
      </x:c>
      <x:c r="I14" s="106">
        <x:f>IF(G14&lt;&gt;"",G14/H14,"")</x:f>
        <x:v>1.5266666666666666</x:v>
      </x:c>
      <x:c r="J14" s="143">
        <x:v>1</x:v>
      </x:c>
      <x:c r="K14" s="107" t="str">
        <x:f>IF(C14&lt;&gt;"","완료","")</x:f>
        <x:v>완료</x:v>
      </x:c>
      <x:c r="L14" s="101"/>
      <x:c r="N14" s="101" t="s">
        <x:v>168</x:v>
      </x:c>
      <x:c r="O14" s="236">
        <x:f>VLOOKUP(O11,C7:I36,2,0)</x:f>
        <x:v>8295</x:v>
      </x:c>
      <x:c r="P14" s="237"/>
      <x:c r="Q14" s="111" t="s">
        <x:v>108</x:v>
      </x:c>
      <x:c r="R14" s="109"/>
    </x:row>
    <x:row r="15" spans="1:18" s="11" customFormat="1" ht="19.5" customHeight="1">
      <x:c r="A15" s="9"/>
      <x:c r="B15" s="133">
        <x:f>B14+1</x:f>
        <x:v>9</x:v>
      </x:c>
      <x:c r="C15" s="101">
        <x:v>8383</x:v>
      </x:c>
      <x:c r="D15" s="103">
        <x:v>8695</x:v>
      </x:c>
      <x:c r="E15" s="103">
        <x:v>13165</x:v>
      </x:c>
      <x:c r="F15" s="104" t="str">
        <x:f>IF(C15&lt;&gt;"",VLOOKUP(C15,명단!$C$4:$F$90,2,FALSE),"")</x:f>
        <x:v>엄정섭</x:v>
      </x:c>
      <x:c r="G15" s="105">
        <x:f>IF(E15="","",E15-D15)</x:f>
        <x:v>4470</x:v>
      </x:c>
      <x:c r="H15" s="105">
        <x:f>IF(G15&lt;&gt;"",$H$7,"")</x:f>
        <x:v>3000</x:v>
      </x:c>
      <x:c r="I15" s="106">
        <x:f>IF(G15&lt;&gt;"",G15/H15,"")</x:f>
        <x:v>1.49</x:v>
      </x:c>
      <x:c r="J15" s="143">
        <x:v>1</x:v>
      </x:c>
      <x:c r="K15" s="107" t="str">
        <x:f>IF(C15&lt;&gt;"","완료","")</x:f>
        <x:v>완료</x:v>
      </x:c>
      <x:c r="L15" s="101"/>
      <x:c r="N15" s="101" t="s">
        <x:v>149</x:v>
      </x:c>
      <x:c r="O15" s="236">
        <x:f>VLOOKUP(O11,C7:I36,3,0)</x:f>
        <x:v>12720</x:v>
      </x:c>
      <x:c r="P15" s="237"/>
      <x:c r="Q15" s="112" t="s">
        <x:v>108</x:v>
      </x:c>
      <x:c r="R15" s="109"/>
    </x:row>
    <x:row r="16" spans="1:18" s="11" customFormat="1" ht="19.5" customHeight="1">
      <x:c r="A16" s="9"/>
      <x:c r="B16" s="133">
        <x:f>B15+1</x:f>
        <x:v>10</x:v>
      </x:c>
      <x:c r="C16" s="101">
        <x:v>6282</x:v>
      </x:c>
      <x:c r="D16" s="103">
        <x:v>8665</x:v>
      </x:c>
      <x:c r="E16" s="103">
        <x:v>13135</x:v>
      </x:c>
      <x:c r="F16" s="104" t="str">
        <x:f>IF(C16&lt;&gt;"",VLOOKUP(C16,명단!$C$4:$F$90,2,FALSE),"")</x:f>
        <x:v>이성재</x:v>
      </x:c>
      <x:c r="G16" s="105">
        <x:f>IF(E16="","",E16-D16)</x:f>
        <x:v>4470</x:v>
      </x:c>
      <x:c r="H16" s="105">
        <x:f>IF(G16&lt;&gt;"",$H$7,"")</x:f>
        <x:v>3000</x:v>
      </x:c>
      <x:c r="I16" s="106">
        <x:f>IF(G16&lt;&gt;"",G16/H16,"")</x:f>
        <x:v>1.49</x:v>
      </x:c>
      <x:c r="J16" s="143">
        <x:v>1</x:v>
      </x:c>
      <x:c r="K16" s="107" t="str">
        <x:f>IF(C16&lt;&gt;"","완료","")</x:f>
        <x:v>완료</x:v>
      </x:c>
      <x:c r="L16" s="101"/>
      <x:c r="N16" s="101" t="s">
        <x:v>145</x:v>
      </x:c>
      <x:c r="O16" s="236">
        <x:f>VLOOKUP(O11,C7:I36,5,0)</x:f>
        <x:v>4425</x:v>
      </x:c>
      <x:c r="P16" s="237"/>
      <x:c r="Q16" s="112" t="s">
        <x:v>108</x:v>
      </x:c>
      <x:c r="R16" s="109"/>
    </x:row>
    <x:row r="17" spans="1:18" s="11" customFormat="1" ht="19.5" customHeight="1">
      <x:c r="A17" s="9"/>
      <x:c r="B17" s="133">
        <x:f>B16+1</x:f>
        <x:v>11</x:v>
      </x:c>
      <x:c r="C17" s="101">
        <x:v>4230</x:v>
      </x:c>
      <x:c r="D17" s="103">
        <x:v>8235</x:v>
      </x:c>
      <x:c r="E17" s="103">
        <x:v>12650</x:v>
      </x:c>
      <x:c r="F17" s="104" t="str">
        <x:f>IF(C17&lt;&gt;"",VLOOKUP(C17,명단!$C$4:$F$90,2,FALSE),"")</x:f>
        <x:v>김은석</x:v>
      </x:c>
      <x:c r="G17" s="105">
        <x:f>IF(E17="","",E17-D17)</x:f>
        <x:v>4415</x:v>
      </x:c>
      <x:c r="H17" s="105">
        <x:f>IF(G17&lt;&gt;"",$H$7,"")</x:f>
        <x:v>3000</x:v>
      </x:c>
      <x:c r="I17" s="106">
        <x:f>IF(G17&lt;&gt;"",G17/H17,"")</x:f>
        <x:v>1.4716666666666667</x:v>
      </x:c>
      <x:c r="J17" s="143">
        <x:v>2</x:v>
      </x:c>
      <x:c r="K17" s="107" t="str">
        <x:f>IF(C17&lt;&gt;"","완료","")</x:f>
        <x:v>완료</x:v>
      </x:c>
      <x:c r="L17" s="101"/>
      <x:c r="N17" s="101" t="s">
        <x:v>104</x:v>
      </x:c>
      <x:c r="O17" s="238">
        <x:f>VLOOKUP(O11,C7:I36,7,0)</x:f>
        <x:v>1.4750000000000001</x:v>
      </x:c>
      <x:c r="P17" s="239"/>
      <x:c r="Q17" s="113" t="s">
        <x:v>108</x:v>
      </x:c>
      <x:c r="R17" s="109"/>
    </x:row>
    <x:row r="18" spans="1:18" s="11" customFormat="1" ht="19.5" customHeight="1">
      <x:c r="A18" s="9"/>
      <x:c r="B18" s="133">
        <x:f>B17+1</x:f>
        <x:v>12</x:v>
      </x:c>
      <x:c r="C18" s="101">
        <x:v>1992</x:v>
      </x:c>
      <x:c r="D18" s="103">
        <x:v>8310</x:v>
      </x:c>
      <x:c r="E18" s="103">
        <x:v>12795</x:v>
      </x:c>
      <x:c r="F18" s="104" t="str">
        <x:f>IF(C18&lt;&gt;"",VLOOKUP(C18,명단!$C$4:$F$90,2,FALSE),"")</x:f>
        <x:v>왕상만</x:v>
      </x:c>
      <x:c r="G18" s="105">
        <x:f>IF(E18="","",E18-D18)</x:f>
        <x:v>4485</x:v>
      </x:c>
      <x:c r="H18" s="105">
        <x:f>IF(G18&lt;&gt;"",$H$7,"")</x:f>
        <x:v>3000</x:v>
      </x:c>
      <x:c r="I18" s="106">
        <x:f>IF(G18&lt;&gt;"",G18/H18,"")</x:f>
        <x:v>1.4950000000000001</x:v>
      </x:c>
      <x:c r="J18" s="143">
        <x:v>2</x:v>
      </x:c>
      <x:c r="K18" s="107" t="str">
        <x:f>IF(C18&lt;&gt;"","완료","")</x:f>
        <x:v>완료</x:v>
      </x:c>
      <x:c r="L18" s="101"/>
      <x:c r="N18" s="114" t="s">
        <x:v>75</x:v>
      </x:c>
      <x:c r="O18" s="236">
        <x:f>VLOOKUP(O11,C7:I36,6,0)</x:f>
        <x:v>3000</x:v>
      </x:c>
      <x:c r="P18" s="237"/>
      <x:c r="Q18" s="112" t="s">
        <x:v>59</x:v>
      </x:c>
      <x:c r="R18" s="109"/>
    </x:row>
    <x:row r="19" spans="1:18" s="11" customFormat="1" ht="19.5" customHeight="1">
      <x:c r="A19" s="9"/>
      <x:c r="B19" s="133">
        <x:f>B18+1</x:f>
        <x:v>13</x:v>
      </x:c>
      <x:c r="C19" s="101">
        <x:v>6456</x:v>
      </x:c>
      <x:c r="D19" s="103">
        <x:v>8525</x:v>
      </x:c>
      <x:c r="E19" s="103">
        <x:v>12925</x:v>
      </x:c>
      <x:c r="F19" s="104" t="str">
        <x:f>IF(C19&lt;&gt;"",VLOOKUP(C19,명단!$C$4:$F$90,2,FALSE),"")</x:f>
        <x:v>임재경</x:v>
      </x:c>
      <x:c r="G19" s="105">
        <x:f>IF(E19="","",E19-D19)</x:f>
        <x:v>4400</x:v>
      </x:c>
      <x:c r="H19" s="105">
        <x:f>IF(G19&lt;&gt;"",$H$7,"")</x:f>
        <x:v>3000</x:v>
      </x:c>
      <x:c r="I19" s="106">
        <x:f>IF(G19&lt;&gt;"",G19/H19,"")</x:f>
        <x:v>1.4666666666666666</x:v>
      </x:c>
      <x:c r="J19" s="143">
        <x:v>2</x:v>
      </x:c>
      <x:c r="K19" s="107" t="str">
        <x:f>IF(C19&lt;&gt;"","완료","")</x:f>
        <x:v>완료</x:v>
      </x:c>
      <x:c r="L19" s="101"/>
      <x:c r="N19" s="115"/>
      <x:c r="O19" s="116"/>
      <x:c r="P19" s="116"/>
      <x:c r="Q19" s="117"/>
      <x:c r="R19" s="100"/>
    </x:row>
    <x:row r="20" spans="1:18" s="11" customFormat="1" ht="19.5" customHeight="1">
      <x:c r="A20" s="9"/>
      <x:c r="B20" s="133">
        <x:f>B19+1</x:f>
        <x:v>14</x:v>
      </x:c>
      <x:c r="C20" s="101">
        <x:v>8712</x:v>
      </x:c>
      <x:c r="D20" s="103">
        <x:v>8295</x:v>
      </x:c>
      <x:c r="E20" s="103">
        <x:v>12720</x:v>
      </x:c>
      <x:c r="F20" s="104" t="str">
        <x:f>IF(C20&lt;&gt;"",VLOOKUP(C20,명단!$C$4:$F$90,2,FALSE),"")</x:f>
        <x:v>임종웅</x:v>
      </x:c>
      <x:c r="G20" s="105">
        <x:f>IF(E20="","",E20-D20)</x:f>
        <x:v>4425</x:v>
      </x:c>
      <x:c r="H20" s="105">
        <x:f>IF(G20&lt;&gt;"",$H$7,"")</x:f>
        <x:v>3000</x:v>
      </x:c>
      <x:c r="I20" s="106">
        <x:f>IF(G20&lt;&gt;"",G20/H20,"")</x:f>
        <x:v>1.4750000000000001</x:v>
      </x:c>
      <x:c r="J20" s="143">
        <x:v>2</x:v>
      </x:c>
      <x:c r="K20" s="107" t="str">
        <x:f>IF(C20&lt;&gt;"","완료","")</x:f>
        <x:v>완료</x:v>
      </x:c>
      <x:c r="L20" s="101"/>
      <x:c r="N20" s="240" t="s">
        <x:v>198</x:v>
      </x:c>
      <x:c r="O20" s="241"/>
      <x:c r="P20" s="241"/>
      <x:c r="Q20" s="242"/>
      <x:c r="R20" s="118"/>
    </x:row>
    <x:row r="21" spans="1:18" s="11" customFormat="1" ht="19.5" customHeight="1">
      <x:c r="A21" s="9"/>
      <x:c r="B21" s="133"/>
      <x:c r="C21" s="101"/>
      <x:c r="D21" s="103"/>
      <x:c r="E21" s="103"/>
      <x:c r="F21" s="104" t="str">
        <x:f>IF(C21&lt;&gt;"",VLOOKUP(C21,명단!$C$4:$F$90,2,FALSE),"")</x:f>
        <x:v/>
      </x:c>
      <x:c r="G21" s="105" t="str">
        <x:f>IF(E21="","",E21-D21)</x:f>
        <x:v/>
      </x:c>
      <x:c r="H21" s="105" t="str">
        <x:f>IF(G21&lt;&gt;"",$H$7,"")</x:f>
        <x:v/>
      </x:c>
      <x:c r="I21" s="106" t="str">
        <x:f>IF(G21&lt;&gt;"",G21/H21,"")</x:f>
        <x:v/>
      </x:c>
      <x:c r="J21" s="140"/>
      <x:c r="K21" s="107" t="str">
        <x:f>IF(C21&lt;&gt;"","완료","")</x:f>
        <x:v/>
      </x:c>
      <x:c r="L21" s="101"/>
      <x:c r="N21" s="119"/>
      <x:c r="O21" s="88"/>
      <x:c r="P21" s="88"/>
      <x:c r="Q21" s="120"/>
      <x:c r="R21" s="121"/>
    </x:row>
    <x:row r="22" spans="1:18" s="11" customFormat="1" ht="19.5" customHeight="1">
      <x:c r="A22" s="9"/>
      <x:c r="B22" s="133"/>
      <x:c r="C22" s="101"/>
      <x:c r="D22" s="103"/>
      <x:c r="E22" s="103"/>
      <x:c r="F22" s="104" t="str">
        <x:f>IF(C22&lt;&gt;"",VLOOKUP(C22,명단!$C$4:$F$90,2,FALSE),"")</x:f>
        <x:v/>
      </x:c>
      <x:c r="G22" s="105" t="str">
        <x:f>IF(E22="","",E22-D22)</x:f>
        <x:v/>
      </x:c>
      <x:c r="H22" s="105" t="str">
        <x:f>IF(G22&lt;&gt;"",$H$7,"")</x:f>
        <x:v/>
      </x:c>
      <x:c r="I22" s="106" t="str">
        <x:f>IF(G22&lt;&gt;"",G22/H22,"")</x:f>
        <x:v/>
      </x:c>
      <x:c r="J22" s="140"/>
      <x:c r="K22" s="107" t="str">
        <x:f>IF(C22&lt;&gt;"","완료","")</x:f>
        <x:v/>
      </x:c>
      <x:c r="L22" s="101"/>
      <x:c r="N22" s="243" t="s">
        <x:v>140</x:v>
      </x:c>
      <x:c r="O22" s="244"/>
      <x:c r="P22" s="244"/>
      <x:c r="Q22" s="245"/>
      <x:c r="R22" s="89"/>
    </x:row>
    <x:row r="23" spans="1:18" s="11" customFormat="1" ht="19.5" customHeight="1">
      <x:c r="A23" s="9"/>
      <x:c r="B23" s="133"/>
      <x:c r="C23" s="101"/>
      <x:c r="D23" s="103"/>
      <x:c r="E23" s="103"/>
      <x:c r="F23" s="104" t="str">
        <x:f>IF(C23&lt;&gt;"",VLOOKUP(C23,명단!$C$4:$F$90,2,FALSE),"")</x:f>
        <x:v/>
      </x:c>
      <x:c r="G23" s="105" t="str">
        <x:f>IF(E23="","",E23-D23)</x:f>
        <x:v/>
      </x:c>
      <x:c r="H23" s="105" t="str">
        <x:f>IF(G23&lt;&gt;"",$H$7,"")</x:f>
        <x:v/>
      </x:c>
      <x:c r="I23" s="106" t="str">
        <x:f>IF(G23&lt;&gt;"",G23/H23,"")</x:f>
        <x:v/>
      </x:c>
      <x:c r="J23" s="140"/>
      <x:c r="K23" s="107" t="str">
        <x:f>IF(C23&lt;&gt;"","완료","")</x:f>
        <x:v/>
      </x:c>
      <x:c r="L23" s="101"/>
      <x:c r="N23" s="122"/>
      <x:c r="O23" s="87"/>
      <x:c r="P23" s="87"/>
      <x:c r="Q23" s="123"/>
      <x:c r="R23" s="121"/>
    </x:row>
    <x:row r="24" spans="1:18" s="11" customFormat="1" ht="19.5" customHeight="1">
      <x:c r="A24" s="9"/>
      <x:c r="B24" s="133"/>
      <x:c r="C24" s="101"/>
      <x:c r="D24" s="103"/>
      <x:c r="E24" s="103"/>
      <x:c r="F24" s="104" t="str">
        <x:f>IF(C24&lt;&gt;"",VLOOKUP(C24,명단!$C$4:$F$90,2,FALSE),"")</x:f>
        <x:v/>
      </x:c>
      <x:c r="G24" s="105" t="str">
        <x:f>IF(E24="","",E24-D24)</x:f>
        <x:v/>
      </x:c>
      <x:c r="H24" s="105" t="str">
        <x:f>IF(G24&lt;&gt;"",$H$7,"")</x:f>
        <x:v/>
      </x:c>
      <x:c r="I24" s="106" t="str">
        <x:f>IF(G24&lt;&gt;"",G24/H24,"")</x:f>
        <x:v/>
      </x:c>
      <x:c r="J24" s="140"/>
      <x:c r="K24" s="107" t="str">
        <x:f>IF(C24&lt;&gt;"","완료","")</x:f>
        <x:v/>
      </x:c>
      <x:c r="L24" s="101"/>
      <x:c r="N24" s="240" t="s">
        <x:v>2</x:v>
      </x:c>
      <x:c r="O24" s="241"/>
      <x:c r="P24" s="241"/>
      <x:c r="Q24" s="242"/>
      <x:c r="R24" s="118"/>
    </x:row>
    <x:row r="25" spans="1:18" s="11" customFormat="1" ht="19.5" customHeight="1">
      <x:c r="A25" s="9"/>
      <x:c r="B25" s="133"/>
      <x:c r="C25" s="101"/>
      <x:c r="D25" s="103"/>
      <x:c r="E25" s="103"/>
      <x:c r="F25" s="104" t="str">
        <x:f>IF(C25&lt;&gt;"",VLOOKUP(C25,명단!$C$4:$F$90,2,FALSE),"")</x:f>
        <x:v/>
      </x:c>
      <x:c r="G25" s="105" t="str">
        <x:f>IF(E25="","",E25-D25)</x:f>
        <x:v/>
      </x:c>
      <x:c r="H25" s="105" t="str">
        <x:f>IF(G25&lt;&gt;"",$H$7,"")</x:f>
        <x:v/>
      </x:c>
      <x:c r="I25" s="106" t="str">
        <x:f>IF(G25&lt;&gt;"",G25/H25,"")</x:f>
        <x:v/>
      </x:c>
      <x:c r="J25" s="140"/>
      <x:c r="K25" s="107" t="str">
        <x:f>IF(C25&lt;&gt;"","완료","")</x:f>
        <x:v/>
      </x:c>
      <x:c r="L25" s="101"/>
      <x:c r="N25" s="124"/>
      <x:c r="O25" s="118"/>
      <x:c r="P25" s="118"/>
      <x:c r="Q25" s="125"/>
      <x:c r="R25" s="118"/>
    </x:row>
    <x:row r="26" spans="1:18" s="11" customFormat="1" ht="19.5" customHeight="1">
      <x:c r="A26" s="9"/>
      <x:c r="B26" s="133"/>
      <x:c r="C26" s="101"/>
      <x:c r="D26" s="103"/>
      <x:c r="E26" s="103"/>
      <x:c r="F26" s="104" t="str">
        <x:f>IF(C26&lt;&gt;"",VLOOKUP(C26,명단!$C$4:$F$90,2,FALSE),"")</x:f>
        <x:v/>
      </x:c>
      <x:c r="G26" s="105" t="str">
        <x:f>IF(E26="","",E26-D26)</x:f>
        <x:v/>
      </x:c>
      <x:c r="H26" s="105" t="str">
        <x:f>IF(G26&lt;&gt;"",$H$7,"")</x:f>
        <x:v/>
      </x:c>
      <x:c r="I26" s="106" t="str">
        <x:f>IF(G26&lt;&gt;"",G26/H26,"")</x:f>
        <x:v/>
      </x:c>
      <x:c r="J26" s="140"/>
      <x:c r="K26" s="107" t="str">
        <x:f>IF(C26&lt;&gt;"","완료","")</x:f>
        <x:v/>
      </x:c>
      <x:c r="L26" s="101"/>
      <x:c r="N26" s="240" t="s">
        <x:v>134</x:v>
      </x:c>
      <x:c r="O26" s="241"/>
      <x:c r="P26" s="241"/>
      <x:c r="Q26" s="242"/>
      <x:c r="R26" s="118"/>
    </x:row>
    <x:row r="27" spans="1:18" s="11" customFormat="1" ht="19.5" customHeight="1">
      <x:c r="A27" s="9"/>
      <x:c r="B27" s="133"/>
      <x:c r="C27" s="101"/>
      <x:c r="D27" s="103"/>
      <x:c r="E27" s="103"/>
      <x:c r="F27" s="104" t="str">
        <x:f>IF(C27&lt;&gt;"",VLOOKUP(C27,명단!$C$4:$F$90,2,FALSE),"")</x:f>
        <x:v/>
      </x:c>
      <x:c r="G27" s="105" t="str">
        <x:f>IF(E27="","",E27-D27)</x:f>
        <x:v/>
      </x:c>
      <x:c r="H27" s="105" t="str">
        <x:f>IF(G27&lt;&gt;"",$H$7,"")</x:f>
        <x:v/>
      </x:c>
      <x:c r="I27" s="106" t="str">
        <x:f>IF(G27&lt;&gt;"",G27/H27,"")</x:f>
        <x:v/>
      </x:c>
      <x:c r="J27" s="140"/>
      <x:c r="K27" s="107" t="str">
        <x:f>IF(C27&lt;&gt;"","완료","")</x:f>
        <x:v/>
      </x:c>
      <x:c r="L27" s="101"/>
      <x:c r="N27" s="126"/>
      <x:c r="O27" s="127"/>
      <x:c r="P27" s="127"/>
      <x:c r="Q27" s="128"/>
      <x:c r="R27" s="121"/>
    </x:row>
    <x:row r="28" spans="1:18" s="11" customFormat="1" ht="19.5" customHeight="1">
      <x:c r="A28" s="9"/>
      <x:c r="B28" s="133"/>
      <x:c r="C28" s="101"/>
      <x:c r="D28" s="103"/>
      <x:c r="E28" s="103"/>
      <x:c r="F28" s="104" t="str">
        <x:f>IF(C28&lt;&gt;"",VLOOKUP(C28,명단!$C$4:$F$90,2,FALSE),"")</x:f>
        <x:v/>
      </x:c>
      <x:c r="G28" s="105" t="str">
        <x:f>IF(E28="","",E28-D28)</x:f>
        <x:v/>
      </x:c>
      <x:c r="H28" s="105" t="str">
        <x:f>IF(G28&lt;&gt;"",$H$7,"")</x:f>
        <x:v/>
      </x:c>
      <x:c r="I28" s="106" t="str">
        <x:f>IF(G28&lt;&gt;"",G28/H28,"")</x:f>
        <x:v/>
      </x:c>
      <x:c r="J28" s="140"/>
      <x:c r="K28" s="107" t="str">
        <x:f>IF(C28&lt;&gt;"","완료","")</x:f>
        <x:v/>
      </x:c>
      <x:c r="L28" s="101"/>
      <x:c r="N28" s="3"/>
      <x:c r="O28" s="3"/>
      <x:c r="P28" s="3"/>
      <x:c r="Q28" s="3"/>
      <x:c r="R28" s="100"/>
    </x:row>
    <x:row r="29" spans="1:18" s="11" customFormat="1" ht="19.5" customHeight="1">
      <x:c r="A29" s="9"/>
      <x:c r="B29" s="133"/>
      <x:c r="C29" s="101"/>
      <x:c r="D29" s="103"/>
      <x:c r="E29" s="103"/>
      <x:c r="F29" s="104" t="str">
        <x:f>IF(C29&lt;&gt;"",VLOOKUP(C29,명단!$C$4:$F$90,2,FALSE),"")</x:f>
        <x:v/>
      </x:c>
      <x:c r="G29" s="105" t="str">
        <x:f>IF(E29="","",E29-D29)</x:f>
        <x:v/>
      </x:c>
      <x:c r="H29" s="105" t="str">
        <x:f>IF(G29&lt;&gt;"",$H$7,"")</x:f>
        <x:v/>
      </x:c>
      <x:c r="I29" s="106" t="str">
        <x:f>IF(G29&lt;&gt;"",G29/H29,"")</x:f>
        <x:v/>
      </x:c>
      <x:c r="J29" s="140"/>
      <x:c r="K29" s="107" t="str">
        <x:f>IF(C29&lt;&gt;"","완료","")</x:f>
        <x:v/>
      </x:c>
      <x:c r="L29" s="101"/>
      <x:c r="R29" s="100"/>
    </x:row>
    <x:row r="30" spans="1:18" s="11" customFormat="1" ht="19.5" customHeight="1">
      <x:c r="A30" s="9"/>
      <x:c r="B30" s="133"/>
      <x:c r="C30" s="101"/>
      <x:c r="D30" s="103"/>
      <x:c r="E30" s="103"/>
      <x:c r="F30" s="104" t="str">
        <x:f>IF(C30&lt;&gt;"",VLOOKUP(C30,명단!$C$4:$F$90,2,FALSE),"")</x:f>
        <x:v/>
      </x:c>
      <x:c r="G30" s="105" t="str">
        <x:f>IF(E30="","",E30-D30)</x:f>
        <x:v/>
      </x:c>
      <x:c r="H30" s="105" t="str">
        <x:f>IF(G30&lt;&gt;"",$H$7,"")</x:f>
        <x:v/>
      </x:c>
      <x:c r="I30" s="106" t="str">
        <x:f>IF(G30&lt;&gt;"",G30/H30,"")</x:f>
        <x:v/>
      </x:c>
      <x:c r="J30" s="140"/>
      <x:c r="K30" s="107" t="str">
        <x:f>IF(C30&lt;&gt;"","완료","")</x:f>
        <x:v/>
      </x:c>
      <x:c r="L30" s="101"/>
      <x:c r="R30" s="89"/>
    </x:row>
    <x:row r="31" spans="1:18" s="11" customFormat="1" ht="19.5" customHeight="1">
      <x:c r="A31" s="9"/>
      <x:c r="B31" s="133"/>
      <x:c r="C31" s="101"/>
      <x:c r="D31" s="103"/>
      <x:c r="E31" s="103"/>
      <x:c r="F31" s="104" t="str">
        <x:f>IF(C31&lt;&gt;"",VLOOKUP(C31,명단!$C$4:$F$90,2,FALSE),"")</x:f>
        <x:v/>
      </x:c>
      <x:c r="G31" s="105" t="str">
        <x:f>IF(E31="","",E31-D31)</x:f>
        <x:v/>
      </x:c>
      <x:c r="H31" s="105" t="str">
        <x:f>IF(G31&lt;&gt;"",$H$7,"")</x:f>
        <x:v/>
      </x:c>
      <x:c r="I31" s="106" t="str">
        <x:f>IF(G31&lt;&gt;"",G31/H31,"")</x:f>
        <x:v/>
      </x:c>
      <x:c r="J31" s="140"/>
      <x:c r="K31" s="107" t="str">
        <x:f>IF(C31&lt;&gt;"","완료","")</x:f>
        <x:v/>
      </x:c>
      <x:c r="L31" s="101"/>
      <x:c r="R31" s="89"/>
    </x:row>
    <x:row r="32" spans="2:12" ht="21" customHeight="1">
      <x:c r="B32" s="133"/>
      <x:c r="C32" s="101"/>
      <x:c r="D32" s="103"/>
      <x:c r="E32" s="103"/>
      <x:c r="F32" s="104" t="str">
        <x:f>IF(C32&lt;&gt;"",VLOOKUP(C32,명단!$C$4:$F$90,2,FALSE),"")</x:f>
        <x:v/>
      </x:c>
      <x:c r="G32" s="105" t="str">
        <x:f>IF(E32="","",E32-D32)</x:f>
        <x:v/>
      </x:c>
      <x:c r="H32" s="105" t="str">
        <x:f>IF(G32&lt;&gt;"",$H$7,"")</x:f>
        <x:v/>
      </x:c>
      <x:c r="I32" s="106" t="str">
        <x:f>IF(G32&lt;&gt;"",G32/H32,"")</x:f>
        <x:v/>
      </x:c>
      <x:c r="J32" s="140"/>
      <x:c r="K32" s="107" t="str">
        <x:f>IF(C32&lt;&gt;"","완료","")</x:f>
        <x:v/>
      </x:c>
      <x:c r="L32" s="101"/>
    </x:row>
    <x:row r="33" spans="2:12" ht="19.5" customHeight="1">
      <x:c r="B33" s="133"/>
      <x:c r="C33" s="101"/>
      <x:c r="D33" s="103"/>
      <x:c r="E33" s="103"/>
      <x:c r="F33" s="104" t="str">
        <x:f>IF(C33&lt;&gt;"",VLOOKUP(C33,명단!$C$4:$F$90,2,FALSE),"")</x:f>
        <x:v/>
      </x:c>
      <x:c r="G33" s="105" t="str">
        <x:f>IF(E33="","",E33-D33)</x:f>
        <x:v/>
      </x:c>
      <x:c r="H33" s="105" t="str">
        <x:f>IF(G33&lt;&gt;"",$H$7,"")</x:f>
        <x:v/>
      </x:c>
      <x:c r="I33" s="106" t="str">
        <x:f>IF(G33&lt;&gt;"",G33/H33,"")</x:f>
        <x:v/>
      </x:c>
      <x:c r="J33" s="140"/>
      <x:c r="K33" s="107" t="str">
        <x:f>IF(C33&lt;&gt;"","완료","")</x:f>
        <x:v/>
      </x:c>
      <x:c r="L33" s="101"/>
    </x:row>
    <x:row r="34" spans="2:12" ht="19.5" customHeight="1">
      <x:c r="B34" s="133"/>
      <x:c r="C34" s="101"/>
      <x:c r="D34" s="103"/>
      <x:c r="E34" s="103"/>
      <x:c r="F34" s="104" t="str">
        <x:f>IF(C34&lt;&gt;"",VLOOKUP(C34,명단!$C$4:$F$90,2,FALSE),"")</x:f>
        <x:v/>
      </x:c>
      <x:c r="G34" s="105" t="str">
        <x:f>IF(E34="","",E34-D34)</x:f>
        <x:v/>
      </x:c>
      <x:c r="H34" s="105" t="str">
        <x:f>IF(G34&lt;&gt;"",$H$7,"")</x:f>
        <x:v/>
      </x:c>
      <x:c r="I34" s="106" t="str">
        <x:f>IF(G34&lt;&gt;"",G34/H34,"")</x:f>
        <x:v/>
      </x:c>
      <x:c r="J34" s="140"/>
      <x:c r="K34" s="107" t="str">
        <x:f>IF(C34&lt;&gt;"","완료","")</x:f>
        <x:v/>
      </x:c>
      <x:c r="L34" s="101"/>
    </x:row>
    <x:row r="35" spans="1:18" s="11" customFormat="1" ht="19.5" customHeight="1">
      <x:c r="A35" s="9"/>
      <x:c r="B35" s="133"/>
      <x:c r="C35" s="101"/>
      <x:c r="D35" s="103"/>
      <x:c r="E35" s="103"/>
      <x:c r="F35" s="104" t="str">
        <x:f>IF(C35&lt;&gt;"",VLOOKUP(C35,명단!$C$4:$F$90,2,FALSE),"")</x:f>
        <x:v/>
      </x:c>
      <x:c r="G35" s="105"/>
      <x:c r="H35" s="105" t="str">
        <x:f>IF(G35&lt;&gt;"",$H$7,"")</x:f>
        <x:v/>
      </x:c>
      <x:c r="I35" s="106" t="str">
        <x:f>IF(G35&lt;&gt;"",G35/H35,"")</x:f>
        <x:v/>
      </x:c>
      <x:c r="J35" s="140"/>
      <x:c r="K35" s="107"/>
      <x:c r="L35" s="101"/>
      <x:c r="R35" s="89"/>
    </x:row>
    <x:row r="36" spans="1:18" s="11" customFormat="1" ht="19.5" customHeight="1">
      <x:c r="A36" s="9"/>
      <x:c r="B36" s="133"/>
      <x:c r="C36" s="101"/>
      <x:c r="D36" s="103"/>
      <x:c r="E36" s="103"/>
      <x:c r="F36" s="104" t="str">
        <x:f>IF(C36&lt;&gt;"",VLOOKUP(C36,명단!$C$4:$F$90,2,FALSE),"")</x:f>
        <x:v/>
      </x:c>
      <x:c r="G36" s="105"/>
      <x:c r="H36" s="105" t="str">
        <x:f>IF(G36&lt;&gt;"",$H$7,"")</x:f>
        <x:v/>
      </x:c>
      <x:c r="I36" s="106" t="str">
        <x:f>IF(G36&lt;&gt;"",G36/H36,"")</x:f>
        <x:v/>
      </x:c>
      <x:c r="J36" s="140"/>
      <x:c r="K36" s="107"/>
      <x:c r="L36" s="101"/>
      <x:c r="R36" s="89"/>
    </x:row>
    <x:row r="37" spans="2:12" ht="19.5" customHeight="1">
      <x:c r="B37" s="133" t="s">
        <x:v>91</x:v>
      </x:c>
      <x:c r="C37" s="133"/>
      <x:c r="D37" s="133"/>
      <x:c r="E37" s="133"/>
      <x:c r="F37" s="133"/>
      <x:c r="G37" s="135">
        <x:f>SUM(G7:G36)</x:f>
        <x:v>62755</x:v>
      </x:c>
      <x:c r="H37" s="135">
        <x:f>SUM(H7:H36)</x:f>
        <x:v>42000</x:v>
      </x:c>
      <x:c r="I37" s="136">
        <x:f>IF(H37&lt;&gt;0,G37/H37,0)</x:f>
        <x:v>1.4941666666666666</x:v>
      </x:c>
      <x:c r="J37" s="134"/>
      <x:c r="K37" s="133"/>
      <x:c r="L37" s="133"/>
    </x:row>
    <x:row r="38" spans="7:9" ht="11.25" customHeight="1">
      <x:c r="G38" s="3"/>
      <x:c r="H38" s="16"/>
      <x:c r="I38" s="20"/>
    </x:row>
    <x:row r="39" spans="2:9" ht="19.5" customHeight="1">
      <x:c r="B39" s="101" t="s">
        <x:v>11</x:v>
      </x:c>
      <x:c r="C39" s="129">
        <x:v>8712</x:v>
      </x:c>
      <x:c r="D39" s="27"/>
      <x:c r="E39" s="27"/>
      <x:c r="F39" s="27"/>
      <x:c r="G39" s="138"/>
      <x:c r="H39" s="131"/>
      <x:c r="I39" s="139"/>
    </x:row>
    <x:row r="40" ht="19.5" customHeight="1"/>
    <x:row r="41" spans="1:18" s="11" customFormat="1" ht="19.5" customHeight="1">
      <x:c r="A41" s="9"/>
      <x:c r="R41" s="89"/>
    </x:row>
    <x:row r="42" spans="1:18" s="11" customFormat="1" ht="19.5" customHeight="1">
      <x:c r="A42" s="9"/>
      <x:c r="G42" s="62"/>
      <x:c r="H42" s="62"/>
      <x:c r="I42" s="62"/>
      <x:c r="R42" s="89"/>
    </x:row>
    <x:row r="43" spans="7:9" ht="19.5" customHeight="1">
      <x:c r="G43" s="62"/>
      <x:c r="H43" s="62"/>
      <x:c r="I43" s="62"/>
    </x:row>
    <x:row r="44" spans="7:9" ht="28.5" customHeight="1">
      <x:c r="G44" s="62"/>
      <x:c r="H44" s="62"/>
      <x:c r="I44" s="62"/>
    </x:row>
    <x:row r="45" spans="7:9" ht="28.5" customHeight="1">
      <x:c r="G45" s="62"/>
      <x:c r="H45" s="62"/>
      <x:c r="I45" s="62"/>
    </x:row>
    <x:row r="46" spans="7:9" ht="28.5" customHeight="1">
      <x:c r="G46" s="62"/>
      <x:c r="H46" s="62"/>
      <x:c r="I46" s="62"/>
    </x:row>
    <x:row r="47" spans="7:9" ht="28.5" customHeight="1">
      <x:c r="G47" s="62"/>
      <x:c r="H47" s="62"/>
      <x:c r="I47" s="62"/>
    </x:row>
    <x:row r="48" spans="7:9" ht="22.5" customHeight="1">
      <x:c r="G48" s="62"/>
      <x:c r="H48" s="62"/>
      <x:c r="I48" s="62"/>
    </x:row>
    <x:row r="49" spans="7:9">
      <x:c r="G49" s="62"/>
      <x:c r="H49" s="62"/>
      <x:c r="I49" s="62"/>
    </x:row>
    <x:row r="50" spans="7:9">
      <x:c r="G50" s="62"/>
      <x:c r="H50" s="62"/>
      <x:c r="I50" s="62"/>
    </x:row>
    <x:row r="51" spans="7:9">
      <x:c r="G51" s="62"/>
      <x:c r="H51" s="62"/>
      <x:c r="I51" s="62"/>
    </x:row>
  </x:sheetData>
  <x:sortState columnSort="0" caseSensitive="0" ref="C19:I20">
    <x:sortCondition descending="0" sortBy="value" ref="H19:H20"/>
  </x:sortState>
  <x:mergeCells count="16">
    <x:mergeCell ref="B2:L2"/>
    <x:mergeCell ref="B4:C4"/>
    <x:mergeCell ref="N7:Q8"/>
    <x:mergeCell ref="N9:Q9"/>
    <x:mergeCell ref="O10:Q10"/>
    <x:mergeCell ref="O12:Q12"/>
    <x:mergeCell ref="O13:Q13"/>
    <x:mergeCell ref="O14:P14"/>
    <x:mergeCell ref="O15:P15"/>
    <x:mergeCell ref="O16:P16"/>
    <x:mergeCell ref="O17:P17"/>
    <x:mergeCell ref="O18:P18"/>
    <x:mergeCell ref="N20:Q20"/>
    <x:mergeCell ref="N22:Q22"/>
    <x:mergeCell ref="N24:Q24"/>
    <x:mergeCell ref="N26:Q26"/>
  </x:mergeCells>
  <x:printOptions horizontalCentered="1" verticalCentered="1" headings="0" gridLines="0" gridLinesSet="1"/>
  <x:pageMargins left="0.78694444894790649" right="0.78694444894790649" top="0.39375001192092896" bottom="0.39375001192092896" header="0.39375001192092896" footer="0.39375001192092896"/>
  <x:pageSetup paperSize="9" scale="100" firstPageNumber="1" fitToWidth="1" fitToHeight="1" orientation="portrait" usePrinterDefaults="1" blackAndWhite="0" draft="0" useFirstPageNumber="0" horizontalDpi="0" verticalDpi="0" copies="1"/>
  <x:drawing r:id="rId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14"/>
  <x:dimension ref="A1:R51"/>
  <x:sheetViews>
    <x:sheetView topLeftCell="A1" zoomScale="80" zoomScaleNormal="80" zoomScaleSheetLayoutView="75" workbookViewId="0">
      <x:selection activeCell="I2" activeCellId="0" sqref="I2:I2"/>
    </x:sheetView>
  </x:sheetViews>
  <x:sheetFormatPr defaultColWidth="9.00390625" defaultRowHeight="23.5"/>
  <x:cols>
    <x:col min="1" max="1" width="1.875" style="9" customWidth="1"/>
    <x:col min="2" max="2" width="5.4296875" style="9" bestFit="1" customWidth="1"/>
    <x:col min="3" max="3" width="6.6953125" style="9" bestFit="1" customWidth="1"/>
    <x:col min="4" max="4" width="7.8046875" style="9" bestFit="1" customWidth="1"/>
    <x:col min="5" max="5" width="9.05859375" style="9" bestFit="1" customWidth="1"/>
    <x:col min="6" max="6" width="7.640625" style="9" bestFit="1" customWidth="1"/>
    <x:col min="7" max="8" width="9.05859375" style="9" bestFit="1" customWidth="1"/>
    <x:col min="9" max="9" width="7.8046875" style="9" bestFit="1" customWidth="1"/>
    <x:col min="10" max="10" width="5.4296875" style="13" bestFit="1" customWidth="1"/>
    <x:col min="11" max="12" width="5.4296875" style="9" bestFit="1" customWidth="1"/>
    <x:col min="13" max="13" width="1.875" style="11" customWidth="1"/>
    <x:col min="14" max="14" width="9.8515625" style="11" bestFit="1" customWidth="1"/>
    <x:col min="15" max="15" width="6.0625" style="11" bestFit="1" customWidth="1"/>
    <x:col min="16" max="16" width="7.640625" style="11" bestFit="1" customWidth="1"/>
    <x:col min="17" max="17" width="10.375" style="11" customWidth="1"/>
    <x:col min="18" max="18" width="1.875" style="89" customWidth="1"/>
    <x:col min="19" max="21" width="9" style="11"/>
    <x:col min="22" max="22" width="3.125" style="11" customWidth="1"/>
    <x:col min="23" max="16294" width="9" style="11"/>
    <x:col min="16295" max="16384" width="9.00390625" style="11"/>
  </x:cols>
  <x:sheetData>
    <x:row r="1" spans="2:12" ht="11.25" customHeight="1">
      <x:c r="B1" s="90"/>
      <x:c r="C1" s="90"/>
      <x:c r="D1" s="90"/>
      <x:c r="E1" s="90"/>
      <x:c r="F1" s="90"/>
      <x:c r="G1" s="90"/>
      <x:c r="H1" s="90"/>
      <x:c r="I1" s="90"/>
      <x:c r="J1" s="91"/>
      <x:c r="K1" s="90"/>
      <x:c r="L1" s="90"/>
    </x:row>
    <x:row r="2" spans="2:12" ht="19.5" customHeight="1">
      <x:c r="B2" s="221" t="str">
        <x:f>'1'!B2</x:f>
        <x:v>체리부로 26회차  출하 집계표</x:v>
      </x:c>
      <x:c r="C2" s="221"/>
      <x:c r="D2" s="221"/>
      <x:c r="E2" s="221"/>
      <x:c r="F2" s="221"/>
      <x:c r="G2" s="221"/>
      <x:c r="H2" s="221"/>
      <x:c r="I2" s="221"/>
      <x:c r="J2" s="221"/>
      <x:c r="K2" s="221"/>
      <x:c r="L2" s="221" t="s">
        <x:v>197</x:v>
      </x:c>
    </x:row>
    <x:row r="3" spans="2:12" ht="11.25" customHeight="1">
      <x:c r="B3" s="92"/>
      <x:c r="C3" s="92"/>
      <x:c r="D3" s="92"/>
      <x:c r="E3" s="92"/>
      <x:c r="F3" s="92"/>
      <x:c r="G3" s="92"/>
      <x:c r="H3" s="92"/>
      <x:c r="I3" s="92"/>
      <x:c r="J3" s="93"/>
      <x:c r="K3" s="92"/>
      <x:c r="L3" s="92"/>
    </x:row>
    <x:row r="4" spans="2:12" ht="19.5" customHeight="1">
      <x:c r="B4" s="222">
        <x:v>46042</x:v>
      </x:c>
      <x:c r="C4" s="222"/>
      <x:c r="D4" s="94"/>
      <x:c r="E4" s="94"/>
      <x:c r="F4" s="95">
        <x:v>28</x:v>
      </x:c>
      <x:c r="G4" s="96" t="s">
        <x:v>103</x:v>
      </x:c>
      <x:c r="H4" s="97">
        <x:v>1.49</x:v>
      </x:c>
      <x:c r="I4" s="98" t="s">
        <x:v>108</x:v>
      </x:c>
      <x:c r="J4" s="93"/>
      <x:c r="K4" s="92"/>
      <x:c r="L4" s="92"/>
    </x:row>
    <x:row r="5" spans="2:12" ht="11.25" customHeight="1">
      <x:c r="B5" s="99"/>
      <x:c r="C5" s="92"/>
      <x:c r="D5" s="92"/>
      <x:c r="E5" s="92"/>
      <x:c r="F5" s="92"/>
      <x:c r="G5" s="92"/>
      <x:c r="H5" s="92"/>
      <x:c r="I5" s="99"/>
      <x:c r="J5" s="91"/>
      <x:c r="K5" s="92"/>
      <x:c r="L5" s="92"/>
    </x:row>
    <x:row r="6" spans="2:18" ht="21" customHeight="1">
      <x:c r="B6" s="133" t="s">
        <x:v>105</x:v>
      </x:c>
      <x:c r="C6" s="133" t="s">
        <x:v>50</x:v>
      </x:c>
      <x:c r="D6" s="133" t="s">
        <x:v>4</x:v>
      </x:c>
      <x:c r="E6" s="133" t="s">
        <x:v>58</x:v>
      </x:c>
      <x:c r="F6" s="133" t="s">
        <x:v>14</x:v>
      </x:c>
      <x:c r="G6" s="133" t="s">
        <x:v>7</x:v>
      </x:c>
      <x:c r="H6" s="133" t="s">
        <x:v>75</x:v>
      </x:c>
      <x:c r="I6" s="133" t="s">
        <x:v>104</x:v>
      </x:c>
      <x:c r="J6" s="134" t="s">
        <x:v>5</x:v>
      </x:c>
      <x:c r="K6" s="133" t="s">
        <x:v>102</x:v>
      </x:c>
      <x:c r="L6" s="133" t="s">
        <x:v>21</x:v>
      </x:c>
      <x:c r="N6" s="3"/>
      <x:c r="O6" s="3"/>
      <x:c r="P6" s="3"/>
      <x:c r="Q6" s="3"/>
      <x:c r="R6" s="100"/>
    </x:row>
    <x:row r="7" spans="2:18" ht="19.5" customHeight="1">
      <x:c r="B7" s="133">
        <x:v>1</x:v>
      </x:c>
      <x:c r="C7" s="101">
        <x:v>7202</x:v>
      </x:c>
      <x:c r="D7" s="102">
        <x:v>8780</x:v>
      </x:c>
      <x:c r="E7" s="103">
        <x:v>13095</x:v>
      </x:c>
      <x:c r="F7" s="104" t="str">
        <x:f>IF(C7&lt;&gt;"",VLOOKUP(C7,명단!$C$4:$F$90,2,FALSE),"")</x:f>
        <x:v>김길식</x:v>
      </x:c>
      <x:c r="G7" s="105">
        <x:f>IF(E7="","",E7-D7)</x:f>
        <x:v>4315</x:v>
      </x:c>
      <x:c r="H7" s="105">
        <x:v>2850</x:v>
      </x:c>
      <x:c r="I7" s="106">
        <x:f>IF(G7&lt;&gt;"",G7/H7,"")</x:f>
        <x:v>1.5140350877192983</x:v>
      </x:c>
      <x:c r="J7" s="143">
        <x:v>3</x:v>
      </x:c>
      <x:c r="K7" s="107" t="str">
        <x:f>IF(C7&lt;&gt;"","완료","")</x:f>
        <x:v>완료</x:v>
      </x:c>
      <x:c r="L7" s="101"/>
      <x:c r="N7" s="223" t="s">
        <x:v>148</x:v>
      </x:c>
      <x:c r="O7" s="224"/>
      <x:c r="P7" s="224"/>
      <x:c r="Q7" s="225"/>
      <x:c r="R7" s="108"/>
    </x:row>
    <x:row r="8" spans="2:18" ht="19.5" customHeight="1">
      <x:c r="B8" s="133">
        <x:f>B7+1</x:f>
        <x:v>2</x:v>
      </x:c>
      <x:c r="C8" s="101">
        <x:v>5755</x:v>
      </x:c>
      <x:c r="D8" s="103">
        <x:v>8675</x:v>
      </x:c>
      <x:c r="E8" s="103">
        <x:v>12965</x:v>
      </x:c>
      <x:c r="F8" s="104" t="str">
        <x:f>IF(C8&lt;&gt;"",VLOOKUP(C8,명단!$C$4:$F$90,2,FALSE),"")</x:f>
        <x:v>남세윤</x:v>
      </x:c>
      <x:c r="G8" s="105">
        <x:f>IF(E8="","",E8-D8)</x:f>
        <x:v>4290</x:v>
      </x:c>
      <x:c r="H8" s="105">
        <x:f>IF(G8&lt;&gt;"",$H$7,"")</x:f>
        <x:v>2850</x:v>
      </x:c>
      <x:c r="I8" s="106">
        <x:f>IF(G8&lt;&gt;"",G8/H8,"")</x:f>
        <x:v>1.5052631578947369</x:v>
      </x:c>
      <x:c r="J8" s="143">
        <x:v>3</x:v>
      </x:c>
      <x:c r="K8" s="107" t="str">
        <x:f>IF(C8&lt;&gt;"","완료","")</x:f>
        <x:v>완료</x:v>
      </x:c>
      <x:c r="L8" s="101"/>
      <x:c r="N8" s="226"/>
      <x:c r="O8" s="227"/>
      <x:c r="P8" s="227"/>
      <x:c r="Q8" s="228"/>
      <x:c r="R8" s="108"/>
    </x:row>
    <x:row r="9" spans="2:18" ht="19.5" customHeight="1">
      <x:c r="B9" s="133">
        <x:f>B8+1</x:f>
        <x:v>3</x:v>
      </x:c>
      <x:c r="C9" s="101">
        <x:v>5673</x:v>
      </x:c>
      <x:c r="D9" s="103">
        <x:v>8610</x:v>
      </x:c>
      <x:c r="E9" s="103">
        <x:v>12880</x:v>
      </x:c>
      <x:c r="F9" s="104" t="str">
        <x:f>IF(C9&lt;&gt;"",VLOOKUP(C9,명단!$C$4:$F$90,2,FALSE),"")</x:f>
        <x:v>주성돈</x:v>
      </x:c>
      <x:c r="G9" s="105">
        <x:f>IF(E9="","",E9-D9)</x:f>
        <x:v>4270</x:v>
      </x:c>
      <x:c r="H9" s="105">
        <x:f>IF(G9&lt;&gt;"",$H$7,"")</x:f>
        <x:v>2850</x:v>
      </x:c>
      <x:c r="I9" s="106">
        <x:f>IF(G9&lt;&gt;"",G9/H9,"")</x:f>
        <x:v>1.4982456140350877</x:v>
      </x:c>
      <x:c r="J9" s="143">
        <x:v>3</x:v>
      </x:c>
      <x:c r="K9" s="107" t="str">
        <x:f>IF(C9&lt;&gt;"","완료","")</x:f>
        <x:v>완료</x:v>
      </x:c>
      <x:c r="L9" s="101"/>
      <x:c r="N9" s="229" t="s">
        <x:v>172</x:v>
      </x:c>
      <x:c r="O9" s="230"/>
      <x:c r="P9" s="230"/>
      <x:c r="Q9" s="231"/>
      <x:c r="R9" s="100"/>
    </x:row>
    <x:row r="10" spans="2:18" ht="19.5" customHeight="1">
      <x:c r="B10" s="133">
        <x:f>B9+1</x:f>
        <x:v>4</x:v>
      </x:c>
      <x:c r="C10" s="101">
        <x:v>5562</x:v>
      </x:c>
      <x:c r="D10" s="103">
        <x:v>8060</x:v>
      </x:c>
      <x:c r="E10" s="103">
        <x:v>12485</x:v>
      </x:c>
      <x:c r="F10" s="104" t="str">
        <x:f>IF(C10&lt;&gt;"",VLOOKUP(C10,명단!$C$4:$F$90,2,FALSE),"")</x:f>
        <x:v>오완수</x:v>
      </x:c>
      <x:c r="G10" s="105">
        <x:f>IF(E10="","",E10-D10)</x:f>
        <x:v>4425</x:v>
      </x:c>
      <x:c r="H10" s="105">
        <x:f>IF(G10&lt;&gt;"",$H$7,"")</x:f>
        <x:v>2850</x:v>
      </x:c>
      <x:c r="I10" s="106">
        <x:f>IF(G10&lt;&gt;"",G10/H10,"")</x:f>
        <x:v>1.5526315789473684</x:v>
      </x:c>
      <x:c r="J10" s="143">
        <x:v>4</x:v>
      </x:c>
      <x:c r="K10" s="107" t="str">
        <x:f>IF(C10&lt;&gt;"","완료","")</x:f>
        <x:v>완료</x:v>
      </x:c>
      <x:c r="L10" s="101"/>
      <x:c r="N10" s="101" t="s">
        <x:v>143</x:v>
      </x:c>
      <x:c r="O10" s="232">
        <x:f ca="1">NOW()</x:f>
        <x:v>46088.592185856483</x:v>
      </x:c>
      <x:c r="P10" s="233"/>
      <x:c r="Q10" s="234"/>
      <x:c r="R10" s="109"/>
    </x:row>
    <x:row r="11" spans="2:18" ht="19.5" customHeight="1">
      <x:c r="B11" s="133">
        <x:f>B10+1</x:f>
        <x:v>5</x:v>
      </x:c>
      <x:c r="C11" s="101">
        <x:v>7030</x:v>
      </x:c>
      <x:c r="D11" s="103">
        <x:v>8615</x:v>
      </x:c>
      <x:c r="E11" s="103">
        <x:v>12985</x:v>
      </x:c>
      <x:c r="F11" s="104" t="str">
        <x:f>IF(C11&lt;&gt;"",VLOOKUP(C11,명단!$C$4:$F$90,2,FALSE),"")</x:f>
        <x:v>이재철</x:v>
      </x:c>
      <x:c r="G11" s="105">
        <x:f>IF(E11="","",E11-D11)</x:f>
        <x:v>4370</x:v>
      </x:c>
      <x:c r="H11" s="105">
        <x:f>IF(G11&lt;&gt;"",$H$7,"")</x:f>
        <x:v>2850</x:v>
      </x:c>
      <x:c r="I11" s="106">
        <x:f>IF(G11&lt;&gt;"",G11/H11,"")</x:f>
        <x:v>1.5333333333333334</x:v>
      </x:c>
      <x:c r="J11" s="143">
        <x:v>4</x:v>
      </x:c>
      <x:c r="K11" s="107" t="str">
        <x:f>IF(C11&lt;&gt;"","완료","")</x:f>
        <x:v>완료</x:v>
      </x:c>
      <x:c r="L11" s="101"/>
      <x:c r="N11" s="101" t="s">
        <x:v>50</x:v>
      </x:c>
      <x:c r="O11" s="107">
        <x:f>C39</x:f>
        <x:v>2504</x:v>
      </x:c>
      <x:c r="P11" s="107" t="s">
        <x:v>73</x:v>
      </x:c>
      <x:c r="Q11" s="107" t="str">
        <x:f>VLOOKUP(O11,C7:I36,4,0)</x:f>
        <x:v>김법규</x:v>
      </x:c>
      <x:c r="R11" s="110"/>
    </x:row>
    <x:row r="12" spans="2:18" ht="19.5" customHeight="1">
      <x:c r="B12" s="133">
        <x:f>B11+1</x:f>
        <x:v>6</x:v>
      </x:c>
      <x:c r="C12" s="101">
        <x:v>3758</x:v>
      </x:c>
      <x:c r="D12" s="103">
        <x:v>8255</x:v>
      </x:c>
      <x:c r="E12" s="103">
        <x:v>12600</x:v>
      </x:c>
      <x:c r="F12" s="104" t="str">
        <x:f>IF(C12&lt;&gt;"",VLOOKUP(C12,명단!$C$4:$F$90,2,FALSE),"")</x:f>
        <x:v>강대영</x:v>
      </x:c>
      <x:c r="G12" s="105">
        <x:f>IF(E12="","",E12-D12)</x:f>
        <x:v>4345</x:v>
      </x:c>
      <x:c r="H12" s="105">
        <x:f>IF(G12&lt;&gt;"",$H$7,"")</x:f>
        <x:v>2850</x:v>
      </x:c>
      <x:c r="I12" s="106">
        <x:f>IF(G12&lt;&gt;"",G12/H12,"")</x:f>
        <x:v>1.524561403508772</x:v>
      </x:c>
      <x:c r="J12" s="143">
        <x:v>4</x:v>
      </x:c>
      <x:c r="K12" s="107" t="str">
        <x:f>IF(C12&lt;&gt;"","완료","")</x:f>
        <x:v>완료</x:v>
      </x:c>
      <x:c r="L12" s="101"/>
      <x:c r="N12" s="101" t="s">
        <x:v>182</x:v>
      </x:c>
      <x:c r="O12" s="235" t="s">
        <x:v>180</x:v>
      </x:c>
      <x:c r="P12" s="235"/>
      <x:c r="Q12" s="235"/>
      <x:c r="R12" s="109"/>
    </x:row>
    <x:row r="13" spans="2:18" ht="19.5" customHeight="1">
      <x:c r="B13" s="133">
        <x:f>B12+1</x:f>
        <x:v>7</x:v>
      </x:c>
      <x:c r="C13" s="101">
        <x:v>8809</x:v>
      </x:c>
      <x:c r="D13" s="103">
        <x:v>8700</x:v>
      </x:c>
      <x:c r="E13" s="103">
        <x:v>13125</x:v>
      </x:c>
      <x:c r="F13" s="104" t="str">
        <x:f>IF(C13&lt;&gt;"",VLOOKUP(C13,명단!$C$4:$F$90,2,FALSE),"")</x:f>
        <x:v>양승달</x:v>
      </x:c>
      <x:c r="G13" s="105">
        <x:f>IF(E13="","",E13-D13)</x:f>
        <x:v>4425</x:v>
      </x:c>
      <x:c r="H13" s="105">
        <x:f>IF(G13&lt;&gt;"",$H$7,"")</x:f>
        <x:v>2850</x:v>
      </x:c>
      <x:c r="I13" s="106">
        <x:f>IF(G13&lt;&gt;"",G13/H13,"")</x:f>
        <x:v>1.5526315789473684</x:v>
      </x:c>
      <x:c r="J13" s="143">
        <x:v>5</x:v>
      </x:c>
      <x:c r="K13" s="107" t="str">
        <x:f>IF(C13&lt;&gt;"","완료","")</x:f>
        <x:v>완료</x:v>
      </x:c>
      <x:c r="L13" s="101"/>
      <x:c r="N13" s="101" t="s">
        <x:v>93</x:v>
      </x:c>
      <x:c r="O13" s="235" t="s">
        <x:v>82</x:v>
      </x:c>
      <x:c r="P13" s="235"/>
      <x:c r="Q13" s="235"/>
      <x:c r="R13" s="109"/>
    </x:row>
    <x:row r="14" spans="1:18" s="11" customFormat="1" ht="19.5" customHeight="1">
      <x:c r="A14" s="9"/>
      <x:c r="B14" s="133">
        <x:f>B13+1</x:f>
        <x:v>8</x:v>
      </x:c>
      <x:c r="C14" s="101">
        <x:v>1267</x:v>
      </x:c>
      <x:c r="D14" s="103">
        <x:v>8645</x:v>
      </x:c>
      <x:c r="E14" s="103">
        <x:v>13070</x:v>
      </x:c>
      <x:c r="F14" s="104" t="str">
        <x:f>IF(C14&lt;&gt;"",VLOOKUP(C14,명단!$C$4:$F$90,2,FALSE),"")</x:f>
        <x:v>김용규</x:v>
      </x:c>
      <x:c r="G14" s="105">
        <x:f>IF(E14="","",E14-D14)</x:f>
        <x:v>4425</x:v>
      </x:c>
      <x:c r="H14" s="105">
        <x:f>IF(G14&lt;&gt;"",$H$7,"")</x:f>
        <x:v>2850</x:v>
      </x:c>
      <x:c r="I14" s="106">
        <x:f>IF(G14&lt;&gt;"",G14/H14,"")</x:f>
        <x:v>1.5526315789473684</x:v>
      </x:c>
      <x:c r="J14" s="143">
        <x:v>5</x:v>
      </x:c>
      <x:c r="K14" s="107" t="str">
        <x:f>IF(C14&lt;&gt;"","완료","")</x:f>
        <x:v>완료</x:v>
      </x:c>
      <x:c r="L14" s="101"/>
      <x:c r="N14" s="101" t="s">
        <x:v>168</x:v>
      </x:c>
      <x:c r="O14" s="236">
        <x:f>VLOOKUP(O11,C7:I36,2,0)</x:f>
        <x:v>8575</x:v>
      </x:c>
      <x:c r="P14" s="237"/>
      <x:c r="Q14" s="111" t="s">
        <x:v>108</x:v>
      </x:c>
      <x:c r="R14" s="109"/>
    </x:row>
    <x:row r="15" spans="1:18" s="11" customFormat="1" ht="19.5" customHeight="1">
      <x:c r="A15" s="9"/>
      <x:c r="B15" s="133">
        <x:f>B14+1</x:f>
        <x:v>9</x:v>
      </x:c>
      <x:c r="C15" s="101">
        <x:v>2565</x:v>
      </x:c>
      <x:c r="D15" s="103">
        <x:v>8615</x:v>
      </x:c>
      <x:c r="E15" s="103">
        <x:v>13040</x:v>
      </x:c>
      <x:c r="F15" s="104" t="str">
        <x:f>IF(C15&lt;&gt;"",VLOOKUP(C15,명단!$C$4:$F$90,2,FALSE),"")</x:f>
        <x:v>심재응</x:v>
      </x:c>
      <x:c r="G15" s="105">
        <x:f>IF(E15="","",E15-D15)</x:f>
        <x:v>4425</x:v>
      </x:c>
      <x:c r="H15" s="105">
        <x:f>IF(G15&lt;&gt;"",$H$7,"")</x:f>
        <x:v>2850</x:v>
      </x:c>
      <x:c r="I15" s="106">
        <x:f>IF(G15&lt;&gt;"",G15/H15,"")</x:f>
        <x:v>1.5526315789473684</x:v>
      </x:c>
      <x:c r="J15" s="143">
        <x:v>5</x:v>
      </x:c>
      <x:c r="K15" s="107" t="str">
        <x:f>IF(C15&lt;&gt;"","완료","")</x:f>
        <x:v>완료</x:v>
      </x:c>
      <x:c r="L15" s="101"/>
      <x:c r="N15" s="101" t="s">
        <x:v>149</x:v>
      </x:c>
      <x:c r="O15" s="236">
        <x:f>VLOOKUP(O11,C7:I36,3,0)</x:f>
        <x:v>12870</x:v>
      </x:c>
      <x:c r="P15" s="237"/>
      <x:c r="Q15" s="112" t="s">
        <x:v>108</x:v>
      </x:c>
      <x:c r="R15" s="109"/>
    </x:row>
    <x:row r="16" spans="1:18" s="11" customFormat="1" ht="19.5" customHeight="1">
      <x:c r="A16" s="9"/>
      <x:c r="B16" s="133">
        <x:f>B15+1</x:f>
        <x:v>10</x:v>
      </x:c>
      <x:c r="C16" s="101">
        <x:v>5704</x:v>
      </x:c>
      <x:c r="D16" s="103">
        <x:v>8700</x:v>
      </x:c>
      <x:c r="E16" s="103">
        <x:v>12950</x:v>
      </x:c>
      <x:c r="F16" s="104" t="str">
        <x:f>IF(C16&lt;&gt;"",VLOOKUP(C16,명단!$C$4:$F$90,2,FALSE),"")</x:f>
        <x:v>정윤영</x:v>
      </x:c>
      <x:c r="G16" s="105">
        <x:f>IF(E16="","",E16-D16)</x:f>
        <x:v>4250</x:v>
      </x:c>
      <x:c r="H16" s="105">
        <x:f>IF(G16&lt;&gt;"",$H$7,"")</x:f>
        <x:v>2850</x:v>
      </x:c>
      <x:c r="I16" s="106">
        <x:f>IF(G16&lt;&gt;"",G16/H16,"")</x:f>
        <x:v>1.4912280701754386</x:v>
      </x:c>
      <x:c r="J16" s="143">
        <x:v>6</x:v>
      </x:c>
      <x:c r="K16" s="107" t="str">
        <x:f>IF(C16&lt;&gt;"","완료","")</x:f>
        <x:v>완료</x:v>
      </x:c>
      <x:c r="L16" s="101"/>
      <x:c r="N16" s="101" t="s">
        <x:v>145</x:v>
      </x:c>
      <x:c r="O16" s="236">
        <x:f>VLOOKUP(O11,C7:I36,5,0)</x:f>
        <x:v>4295</x:v>
      </x:c>
      <x:c r="P16" s="237"/>
      <x:c r="Q16" s="112" t="s">
        <x:v>108</x:v>
      </x:c>
      <x:c r="R16" s="109"/>
    </x:row>
    <x:row r="17" spans="1:18" s="11" customFormat="1" ht="19.5" customHeight="1">
      <x:c r="A17" s="9"/>
      <x:c r="B17" s="133">
        <x:f>B16+1</x:f>
        <x:v>11</x:v>
      </x:c>
      <x:c r="C17" s="101">
        <x:v>5911</x:v>
      </x:c>
      <x:c r="D17" s="103">
        <x:v>8560</x:v>
      </x:c>
      <x:c r="E17" s="103">
        <x:v>12825</x:v>
      </x:c>
      <x:c r="F17" s="104" t="str">
        <x:f>IF(C17&lt;&gt;"",VLOOKUP(C17,명단!$C$4:$F$90,2,FALSE),"")</x:f>
        <x:v>손길수</x:v>
      </x:c>
      <x:c r="G17" s="105">
        <x:f>IF(E17="","",E17-D17)</x:f>
        <x:v>4265</x:v>
      </x:c>
      <x:c r="H17" s="105">
        <x:f>IF(G17&lt;&gt;"",$H$7,"")</x:f>
        <x:v>2850</x:v>
      </x:c>
      <x:c r="I17" s="106">
        <x:f>IF(G17&lt;&gt;"",G17/H17,"")</x:f>
        <x:v>1.4964912280701754</x:v>
      </x:c>
      <x:c r="J17" s="143">
        <x:v>6</x:v>
      </x:c>
      <x:c r="K17" s="107" t="str">
        <x:f>IF(C17&lt;&gt;"","완료","")</x:f>
        <x:v>완료</x:v>
      </x:c>
      <x:c r="L17" s="101"/>
      <x:c r="N17" s="101" t="s">
        <x:v>104</x:v>
      </x:c>
      <x:c r="O17" s="238">
        <x:f>VLOOKUP(O11,C7:I36,7,0)</x:f>
        <x:v>1.5070175438596491</x:v>
      </x:c>
      <x:c r="P17" s="239"/>
      <x:c r="Q17" s="113" t="s">
        <x:v>108</x:v>
      </x:c>
      <x:c r="R17" s="109"/>
    </x:row>
    <x:row r="18" spans="1:18" s="11" customFormat="1" ht="19.5" customHeight="1">
      <x:c r="A18" s="9"/>
      <x:c r="B18" s="133">
        <x:f>B17+1</x:f>
        <x:v>12</x:v>
      </x:c>
      <x:c r="C18" s="101">
        <x:v>2504</x:v>
      </x:c>
      <x:c r="D18" s="103">
        <x:v>8575</x:v>
      </x:c>
      <x:c r="E18" s="103">
        <x:v>12870</x:v>
      </x:c>
      <x:c r="F18" s="104" t="str">
        <x:f>IF(C18&lt;&gt;"",VLOOKUP(C18,명단!$C$4:$F$90,2,FALSE),"")</x:f>
        <x:v>김법규</x:v>
      </x:c>
      <x:c r="G18" s="105">
        <x:f>IF(E18="","",E18-D18)</x:f>
        <x:v>4295</x:v>
      </x:c>
      <x:c r="H18" s="105">
        <x:f>IF(G18&lt;&gt;"",$H$7,"")</x:f>
        <x:v>2850</x:v>
      </x:c>
      <x:c r="I18" s="106">
        <x:f>IF(G18&lt;&gt;"",G18/H18,"")</x:f>
        <x:v>1.5070175438596491</x:v>
      </x:c>
      <x:c r="J18" s="143">
        <x:v>6</x:v>
      </x:c>
      <x:c r="K18" s="107" t="str">
        <x:f>IF(C18&lt;&gt;"","완료","")</x:f>
        <x:v>완료</x:v>
      </x:c>
      <x:c r="L18" s="101"/>
      <x:c r="N18" s="114" t="s">
        <x:v>75</x:v>
      </x:c>
      <x:c r="O18" s="236">
        <x:f>VLOOKUP(O11,C7:I36,6,0)</x:f>
        <x:v>2850</x:v>
      </x:c>
      <x:c r="P18" s="237"/>
      <x:c r="Q18" s="112" t="s">
        <x:v>59</x:v>
      </x:c>
      <x:c r="R18" s="109"/>
    </x:row>
    <x:row r="19" spans="1:18" s="11" customFormat="1" ht="19.5" customHeight="1">
      <x:c r="A19" s="9"/>
      <x:c r="B19" s="133"/>
      <x:c r="C19" s="101"/>
      <x:c r="D19" s="103"/>
      <x:c r="E19" s="103"/>
      <x:c r="F19" s="104" t="str">
        <x:f>IF(C19&lt;&gt;"",VLOOKUP(C19,명단!$C$4:$F$90,2,FALSE),"")</x:f>
        <x:v/>
      </x:c>
      <x:c r="G19" s="105" t="str">
        <x:f>IF(E19="","",E19-D19)</x:f>
        <x:v/>
      </x:c>
      <x:c r="H19" s="105" t="str">
        <x:f>IF(G19&lt;&gt;"",$H$7,"")</x:f>
        <x:v/>
      </x:c>
      <x:c r="I19" s="106" t="str">
        <x:f>IF(G19&lt;&gt;"",G19/H19,"")</x:f>
        <x:v/>
      </x:c>
      <x:c r="J19" s="140"/>
      <x:c r="K19" s="107" t="str">
        <x:f>IF(C19&lt;&gt;"","완료","")</x:f>
        <x:v/>
      </x:c>
      <x:c r="L19" s="101"/>
      <x:c r="N19" s="115"/>
      <x:c r="O19" s="116"/>
      <x:c r="P19" s="116"/>
      <x:c r="Q19" s="117"/>
      <x:c r="R19" s="100"/>
    </x:row>
    <x:row r="20" spans="1:18" s="11" customFormat="1" ht="19.5" customHeight="1">
      <x:c r="A20" s="9"/>
      <x:c r="B20" s="133"/>
      <x:c r="C20" s="101"/>
      <x:c r="D20" s="103"/>
      <x:c r="E20" s="103"/>
      <x:c r="F20" s="104" t="str">
        <x:f>IF(C20&lt;&gt;"",VLOOKUP(C20,명단!$C$4:$F$90,2,FALSE),"")</x:f>
        <x:v/>
      </x:c>
      <x:c r="G20" s="105" t="str">
        <x:f>IF(E20="","",E20-D20)</x:f>
        <x:v/>
      </x:c>
      <x:c r="H20" s="105" t="str">
        <x:f>IF(G20&lt;&gt;"",$H$7,"")</x:f>
        <x:v/>
      </x:c>
      <x:c r="I20" s="106" t="str">
        <x:f>IF(G20&lt;&gt;"",G20/H20,"")</x:f>
        <x:v/>
      </x:c>
      <x:c r="J20" s="140"/>
      <x:c r="K20" s="107" t="str">
        <x:f>IF(C20&lt;&gt;"","완료","")</x:f>
        <x:v/>
      </x:c>
      <x:c r="L20" s="101"/>
      <x:c r="N20" s="240" t="s">
        <x:v>198</x:v>
      </x:c>
      <x:c r="O20" s="241"/>
      <x:c r="P20" s="241"/>
      <x:c r="Q20" s="242"/>
      <x:c r="R20" s="118"/>
    </x:row>
    <x:row r="21" spans="1:18" s="11" customFormat="1" ht="19.5" customHeight="1">
      <x:c r="A21" s="9"/>
      <x:c r="B21" s="133"/>
      <x:c r="C21" s="101"/>
      <x:c r="D21" s="103"/>
      <x:c r="E21" s="103"/>
      <x:c r="F21" s="104" t="str">
        <x:f>IF(C21&lt;&gt;"",VLOOKUP(C21,명단!$C$4:$F$90,2,FALSE),"")</x:f>
        <x:v/>
      </x:c>
      <x:c r="G21" s="105" t="str">
        <x:f>IF(E21="","",E21-D21)</x:f>
        <x:v/>
      </x:c>
      <x:c r="H21" s="105" t="str">
        <x:f>IF(G21&lt;&gt;"",$H$7,"")</x:f>
        <x:v/>
      </x:c>
      <x:c r="I21" s="106" t="str">
        <x:f>IF(G21&lt;&gt;"",G21/H21,"")</x:f>
        <x:v/>
      </x:c>
      <x:c r="J21" s="140"/>
      <x:c r="K21" s="107" t="str">
        <x:f>IF(C21&lt;&gt;"","완료","")</x:f>
        <x:v/>
      </x:c>
      <x:c r="L21" s="101"/>
      <x:c r="N21" s="119"/>
      <x:c r="O21" s="88"/>
      <x:c r="P21" s="88"/>
      <x:c r="Q21" s="120"/>
      <x:c r="R21" s="121"/>
    </x:row>
    <x:row r="22" spans="1:18" s="11" customFormat="1" ht="19.5" customHeight="1">
      <x:c r="A22" s="9"/>
      <x:c r="B22" s="133"/>
      <x:c r="C22" s="101"/>
      <x:c r="D22" s="103"/>
      <x:c r="E22" s="103"/>
      <x:c r="F22" s="104" t="str">
        <x:f>IF(C22&lt;&gt;"",VLOOKUP(C22,명단!$C$4:$F$90,2,FALSE),"")</x:f>
        <x:v/>
      </x:c>
      <x:c r="G22" s="105" t="str">
        <x:f>IF(E22="","",E22-D22)</x:f>
        <x:v/>
      </x:c>
      <x:c r="H22" s="105" t="str">
        <x:f>IF(G22&lt;&gt;"",$H$7,"")</x:f>
        <x:v/>
      </x:c>
      <x:c r="I22" s="106" t="str">
        <x:f>IF(G22&lt;&gt;"",G22/H22,"")</x:f>
        <x:v/>
      </x:c>
      <x:c r="J22" s="140"/>
      <x:c r="K22" s="107" t="str">
        <x:f>IF(C22&lt;&gt;"","완료","")</x:f>
        <x:v/>
      </x:c>
      <x:c r="L22" s="101"/>
      <x:c r="N22" s="243" t="s">
        <x:v>140</x:v>
      </x:c>
      <x:c r="O22" s="244"/>
      <x:c r="P22" s="244"/>
      <x:c r="Q22" s="245"/>
      <x:c r="R22" s="89"/>
    </x:row>
    <x:row r="23" spans="1:18" s="11" customFormat="1" ht="19.5" customHeight="1">
      <x:c r="A23" s="9"/>
      <x:c r="B23" s="133"/>
      <x:c r="C23" s="101"/>
      <x:c r="D23" s="103"/>
      <x:c r="E23" s="103"/>
      <x:c r="F23" s="104" t="str">
        <x:f>IF(C23&lt;&gt;"",VLOOKUP(C23,명단!$C$4:$F$90,2,FALSE),"")</x:f>
        <x:v/>
      </x:c>
      <x:c r="G23" s="105" t="str">
        <x:f>IF(E23="","",E23-D23)</x:f>
        <x:v/>
      </x:c>
      <x:c r="H23" s="105" t="str">
        <x:f>IF(G23&lt;&gt;"",$H$7,"")</x:f>
        <x:v/>
      </x:c>
      <x:c r="I23" s="106" t="str">
        <x:f>IF(G23&lt;&gt;"",G23/H23,"")</x:f>
        <x:v/>
      </x:c>
      <x:c r="J23" s="140"/>
      <x:c r="K23" s="107" t="str">
        <x:f>IF(C23&lt;&gt;"","완료","")</x:f>
        <x:v/>
      </x:c>
      <x:c r="L23" s="101"/>
      <x:c r="N23" s="122"/>
      <x:c r="O23" s="87"/>
      <x:c r="P23" s="87"/>
      <x:c r="Q23" s="123"/>
      <x:c r="R23" s="121"/>
    </x:row>
    <x:row r="24" spans="1:18" s="11" customFormat="1" ht="19.5" customHeight="1">
      <x:c r="A24" s="9"/>
      <x:c r="B24" s="133"/>
      <x:c r="C24" s="101"/>
      <x:c r="D24" s="103"/>
      <x:c r="E24" s="103"/>
      <x:c r="F24" s="104" t="str">
        <x:f>IF(C24&lt;&gt;"",VLOOKUP(C24,명단!$C$4:$F$90,2,FALSE),"")</x:f>
        <x:v/>
      </x:c>
      <x:c r="G24" s="105" t="str">
        <x:f>IF(E24="","",E24-D24)</x:f>
        <x:v/>
      </x:c>
      <x:c r="H24" s="105" t="str">
        <x:f>IF(G24&lt;&gt;"",$H$7,"")</x:f>
        <x:v/>
      </x:c>
      <x:c r="I24" s="106" t="str">
        <x:f>IF(G24&lt;&gt;"",G24/H24,"")</x:f>
        <x:v/>
      </x:c>
      <x:c r="J24" s="140"/>
      <x:c r="K24" s="107" t="str">
        <x:f>IF(C24&lt;&gt;"","완료","")</x:f>
        <x:v/>
      </x:c>
      <x:c r="L24" s="101"/>
      <x:c r="N24" s="240" t="s">
        <x:v>2</x:v>
      </x:c>
      <x:c r="O24" s="241"/>
      <x:c r="P24" s="241"/>
      <x:c r="Q24" s="242"/>
      <x:c r="R24" s="118"/>
    </x:row>
    <x:row r="25" spans="1:18" s="11" customFormat="1" ht="19.5" customHeight="1">
      <x:c r="A25" s="9"/>
      <x:c r="B25" s="133"/>
      <x:c r="C25" s="101"/>
      <x:c r="D25" s="103"/>
      <x:c r="E25" s="103"/>
      <x:c r="F25" s="104" t="str">
        <x:f>IF(C25&lt;&gt;"",VLOOKUP(C25,명단!$C$4:$F$90,2,FALSE),"")</x:f>
        <x:v/>
      </x:c>
      <x:c r="G25" s="105" t="str">
        <x:f>IF(E25="","",E25-D25)</x:f>
        <x:v/>
      </x:c>
      <x:c r="H25" s="105" t="str">
        <x:f>IF(G25&lt;&gt;"",$H$7,"")</x:f>
        <x:v/>
      </x:c>
      <x:c r="I25" s="106" t="str">
        <x:f>IF(G25&lt;&gt;"",G25/H25,"")</x:f>
        <x:v/>
      </x:c>
      <x:c r="J25" s="140"/>
      <x:c r="K25" s="107" t="str">
        <x:f>IF(C25&lt;&gt;"","완료","")</x:f>
        <x:v/>
      </x:c>
      <x:c r="L25" s="101"/>
      <x:c r="N25" s="124"/>
      <x:c r="O25" s="118"/>
      <x:c r="P25" s="118"/>
      <x:c r="Q25" s="125"/>
      <x:c r="R25" s="118"/>
    </x:row>
    <x:row r="26" spans="1:18" s="11" customFormat="1" ht="19.5" customHeight="1">
      <x:c r="A26" s="9"/>
      <x:c r="B26" s="133"/>
      <x:c r="C26" s="101"/>
      <x:c r="D26" s="103"/>
      <x:c r="E26" s="103"/>
      <x:c r="F26" s="104" t="str">
        <x:f>IF(C26&lt;&gt;"",VLOOKUP(C26,명단!$C$4:$F$90,2,FALSE),"")</x:f>
        <x:v/>
      </x:c>
      <x:c r="G26" s="105" t="str">
        <x:f>IF(E26="","",E26-D26)</x:f>
        <x:v/>
      </x:c>
      <x:c r="H26" s="105" t="str">
        <x:f>IF(G26&lt;&gt;"",$H$7,"")</x:f>
        <x:v/>
      </x:c>
      <x:c r="I26" s="106" t="str">
        <x:f>IF(G26&lt;&gt;"",G26/H26,"")</x:f>
        <x:v/>
      </x:c>
      <x:c r="J26" s="140"/>
      <x:c r="K26" s="107" t="str">
        <x:f>IF(C26&lt;&gt;"","완료","")</x:f>
        <x:v/>
      </x:c>
      <x:c r="L26" s="101"/>
      <x:c r="N26" s="240" t="s">
        <x:v>134</x:v>
      </x:c>
      <x:c r="O26" s="241"/>
      <x:c r="P26" s="241"/>
      <x:c r="Q26" s="242"/>
      <x:c r="R26" s="118"/>
    </x:row>
    <x:row r="27" spans="1:18" s="11" customFormat="1" ht="19.5" customHeight="1">
      <x:c r="A27" s="9"/>
      <x:c r="B27" s="133"/>
      <x:c r="C27" s="101"/>
      <x:c r="D27" s="103"/>
      <x:c r="E27" s="103"/>
      <x:c r="F27" s="104" t="str">
        <x:f>IF(C27&lt;&gt;"",VLOOKUP(C27,명단!$C$4:$F$90,2,FALSE),"")</x:f>
        <x:v/>
      </x:c>
      <x:c r="G27" s="105" t="str">
        <x:f>IF(E27="","",E27-D27)</x:f>
        <x:v/>
      </x:c>
      <x:c r="H27" s="105" t="str">
        <x:f>IF(G27&lt;&gt;"",$H$7,"")</x:f>
        <x:v/>
      </x:c>
      <x:c r="I27" s="106" t="str">
        <x:f>IF(G27&lt;&gt;"",G27/H27,"")</x:f>
        <x:v/>
      </x:c>
      <x:c r="J27" s="140"/>
      <x:c r="K27" s="107" t="str">
        <x:f>IF(C27&lt;&gt;"","완료","")</x:f>
        <x:v/>
      </x:c>
      <x:c r="L27" s="101"/>
      <x:c r="N27" s="126"/>
      <x:c r="O27" s="127"/>
      <x:c r="P27" s="127"/>
      <x:c r="Q27" s="128"/>
      <x:c r="R27" s="121"/>
    </x:row>
    <x:row r="28" spans="1:18" s="11" customFormat="1" ht="19.5" customHeight="1">
      <x:c r="A28" s="9"/>
      <x:c r="B28" s="133"/>
      <x:c r="C28" s="101"/>
      <x:c r="D28" s="103"/>
      <x:c r="E28" s="103"/>
      <x:c r="F28" s="104" t="str">
        <x:f>IF(C28&lt;&gt;"",VLOOKUP(C28,명단!$C$4:$F$90,2,FALSE),"")</x:f>
        <x:v/>
      </x:c>
      <x:c r="G28" s="105" t="str">
        <x:f>IF(E28="","",E28-D28)</x:f>
        <x:v/>
      </x:c>
      <x:c r="H28" s="105" t="str">
        <x:f>IF(G28&lt;&gt;"",$H$7,"")</x:f>
        <x:v/>
      </x:c>
      <x:c r="I28" s="106" t="str">
        <x:f>IF(G28&lt;&gt;"",G28/H28,"")</x:f>
        <x:v/>
      </x:c>
      <x:c r="J28" s="140"/>
      <x:c r="K28" s="107" t="str">
        <x:f>IF(C28&lt;&gt;"","완료","")</x:f>
        <x:v/>
      </x:c>
      <x:c r="L28" s="101"/>
      <x:c r="N28" s="3"/>
      <x:c r="O28" s="3"/>
      <x:c r="P28" s="3"/>
      <x:c r="Q28" s="3"/>
      <x:c r="R28" s="100"/>
    </x:row>
    <x:row r="29" spans="1:18" s="11" customFormat="1" ht="19.5" customHeight="1">
      <x:c r="A29" s="9"/>
      <x:c r="B29" s="133"/>
      <x:c r="C29" s="101"/>
      <x:c r="D29" s="103"/>
      <x:c r="E29" s="103"/>
      <x:c r="F29" s="104" t="str">
        <x:f>IF(C29&lt;&gt;"",VLOOKUP(C29,명단!$C$4:$F$90,2,FALSE),"")</x:f>
        <x:v/>
      </x:c>
      <x:c r="G29" s="105" t="str">
        <x:f>IF(E29="","",E29-D29)</x:f>
        <x:v/>
      </x:c>
      <x:c r="H29" s="105" t="str">
        <x:f>IF(G29&lt;&gt;"",$H$7,"")</x:f>
        <x:v/>
      </x:c>
      <x:c r="I29" s="106" t="str">
        <x:f>IF(G29&lt;&gt;"",G29/H29,"")</x:f>
        <x:v/>
      </x:c>
      <x:c r="J29" s="140"/>
      <x:c r="K29" s="107" t="str">
        <x:f>IF(C29&lt;&gt;"","완료","")</x:f>
        <x:v/>
      </x:c>
      <x:c r="L29" s="101"/>
      <x:c r="R29" s="100"/>
    </x:row>
    <x:row r="30" spans="1:18" s="11" customFormat="1" ht="19.5" customHeight="1">
      <x:c r="A30" s="9"/>
      <x:c r="B30" s="133"/>
      <x:c r="C30" s="101"/>
      <x:c r="D30" s="103"/>
      <x:c r="E30" s="103"/>
      <x:c r="F30" s="104" t="str">
        <x:f>IF(C30&lt;&gt;"",VLOOKUP(C30,명단!$C$4:$F$90,2,FALSE),"")</x:f>
        <x:v/>
      </x:c>
      <x:c r="G30" s="105" t="str">
        <x:f>IF(E30="","",E30-D30)</x:f>
        <x:v/>
      </x:c>
      <x:c r="H30" s="105" t="str">
        <x:f>IF(G30&lt;&gt;"",$H$7,"")</x:f>
        <x:v/>
      </x:c>
      <x:c r="I30" s="106" t="str">
        <x:f>IF(G30&lt;&gt;"",G30/H30,"")</x:f>
        <x:v/>
      </x:c>
      <x:c r="J30" s="140"/>
      <x:c r="K30" s="107" t="str">
        <x:f>IF(C30&lt;&gt;"","완료","")</x:f>
        <x:v/>
      </x:c>
      <x:c r="L30" s="101"/>
      <x:c r="R30" s="89"/>
    </x:row>
    <x:row r="31" spans="1:18" s="11" customFormat="1" ht="19.5" customHeight="1">
      <x:c r="A31" s="9"/>
      <x:c r="B31" s="133"/>
      <x:c r="C31" s="101"/>
      <x:c r="D31" s="103"/>
      <x:c r="E31" s="103"/>
      <x:c r="F31" s="104" t="str">
        <x:f>IF(C31&lt;&gt;"",VLOOKUP(C31,명단!$C$4:$F$90,2,FALSE),"")</x:f>
        <x:v/>
      </x:c>
      <x:c r="G31" s="105" t="str">
        <x:f>IF(E31="","",E31-D31)</x:f>
        <x:v/>
      </x:c>
      <x:c r="H31" s="105" t="str">
        <x:f>IF(G31&lt;&gt;"",$H$7,"")</x:f>
        <x:v/>
      </x:c>
      <x:c r="I31" s="106" t="str">
        <x:f>IF(G31&lt;&gt;"",G31/H31,"")</x:f>
        <x:v/>
      </x:c>
      <x:c r="J31" s="140"/>
      <x:c r="K31" s="107" t="str">
        <x:f>IF(C31&lt;&gt;"","완료","")</x:f>
        <x:v/>
      </x:c>
      <x:c r="L31" s="101"/>
      <x:c r="R31" s="89"/>
    </x:row>
    <x:row r="32" spans="2:12" ht="21" customHeight="1">
      <x:c r="B32" s="133"/>
      <x:c r="C32" s="101"/>
      <x:c r="D32" s="103"/>
      <x:c r="E32" s="103"/>
      <x:c r="F32" s="104" t="str">
        <x:f>IF(C32&lt;&gt;"",VLOOKUP(C32,명단!$C$4:$F$90,2,FALSE),"")</x:f>
        <x:v/>
      </x:c>
      <x:c r="G32" s="105" t="str">
        <x:f>IF(E32="","",E32-D32)</x:f>
        <x:v/>
      </x:c>
      <x:c r="H32" s="105" t="str">
        <x:f>IF(G32&lt;&gt;"",$H$7,"")</x:f>
        <x:v/>
      </x:c>
      <x:c r="I32" s="106" t="str">
        <x:f>IF(G32&lt;&gt;"",G32/H32,"")</x:f>
        <x:v/>
      </x:c>
      <x:c r="J32" s="140"/>
      <x:c r="K32" s="107" t="str">
        <x:f>IF(C32&lt;&gt;"","완료","")</x:f>
        <x:v/>
      </x:c>
      <x:c r="L32" s="101"/>
    </x:row>
    <x:row r="33" spans="2:12" ht="19.5" customHeight="1">
      <x:c r="B33" s="133"/>
      <x:c r="C33" s="101"/>
      <x:c r="D33" s="103"/>
      <x:c r="E33" s="103"/>
      <x:c r="F33" s="104" t="str">
        <x:f>IF(C33&lt;&gt;"",VLOOKUP(C33,명단!$C$4:$F$90,2,FALSE),"")</x:f>
        <x:v/>
      </x:c>
      <x:c r="G33" s="105" t="str">
        <x:f>IF(E33="","",E33-D33)</x:f>
        <x:v/>
      </x:c>
      <x:c r="H33" s="105" t="str">
        <x:f>IF(G33&lt;&gt;"",$H$7,"")</x:f>
        <x:v/>
      </x:c>
      <x:c r="I33" s="106" t="str">
        <x:f>IF(G33&lt;&gt;"",G33/H33,"")</x:f>
        <x:v/>
      </x:c>
      <x:c r="J33" s="140"/>
      <x:c r="K33" s="107" t="str">
        <x:f>IF(C33&lt;&gt;"","완료","")</x:f>
        <x:v/>
      </x:c>
      <x:c r="L33" s="101"/>
    </x:row>
    <x:row r="34" spans="2:12" ht="19.5" customHeight="1">
      <x:c r="B34" s="133"/>
      <x:c r="C34" s="101"/>
      <x:c r="D34" s="103"/>
      <x:c r="E34" s="103"/>
      <x:c r="F34" s="104" t="str">
        <x:f>IF(C34&lt;&gt;"",VLOOKUP(C34,명단!$C$4:$F$90,2,FALSE),"")</x:f>
        <x:v/>
      </x:c>
      <x:c r="G34" s="105" t="str">
        <x:f>IF(E34="","",E34-D34)</x:f>
        <x:v/>
      </x:c>
      <x:c r="H34" s="105" t="str">
        <x:f>IF(G34&lt;&gt;"",$H$7,"")</x:f>
        <x:v/>
      </x:c>
      <x:c r="I34" s="106" t="str">
        <x:f>IF(G34&lt;&gt;"",G34/H34,"")</x:f>
        <x:v/>
      </x:c>
      <x:c r="J34" s="140"/>
      <x:c r="K34" s="107" t="str">
        <x:f>IF(C34&lt;&gt;"","완료","")</x:f>
        <x:v/>
      </x:c>
      <x:c r="L34" s="101"/>
    </x:row>
    <x:row r="35" spans="1:18" s="11" customFormat="1" ht="19.5" customHeight="1">
      <x:c r="A35" s="9"/>
      <x:c r="B35" s="133"/>
      <x:c r="C35" s="101"/>
      <x:c r="D35" s="103"/>
      <x:c r="E35" s="103"/>
      <x:c r="F35" s="104" t="str">
        <x:f>IF(C35&lt;&gt;"",VLOOKUP(C35,명단!$C$4:$F$90,2,FALSE),"")</x:f>
        <x:v/>
      </x:c>
      <x:c r="G35" s="105"/>
      <x:c r="H35" s="105" t="str">
        <x:f>IF(G35&lt;&gt;"",$H$7,"")</x:f>
        <x:v/>
      </x:c>
      <x:c r="I35" s="106"/>
      <x:c r="J35" s="140"/>
      <x:c r="K35" s="107"/>
      <x:c r="L35" s="101"/>
      <x:c r="R35" s="89"/>
    </x:row>
    <x:row r="36" spans="1:18" s="11" customFormat="1" ht="19.5" customHeight="1">
      <x:c r="A36" s="9"/>
      <x:c r="B36" s="133"/>
      <x:c r="C36" s="101"/>
      <x:c r="D36" s="103"/>
      <x:c r="E36" s="103"/>
      <x:c r="F36" s="104" t="str">
        <x:f>IF(C36&lt;&gt;"",VLOOKUP(C36,명단!$C$4:$F$90,2,FALSE),"")</x:f>
        <x:v/>
      </x:c>
      <x:c r="G36" s="105"/>
      <x:c r="H36" s="105" t="str">
        <x:f>IF(G36&lt;&gt;"",$H$7,"")</x:f>
        <x:v/>
      </x:c>
      <x:c r="I36" s="106"/>
      <x:c r="J36" s="140"/>
      <x:c r="K36" s="107"/>
      <x:c r="L36" s="101"/>
      <x:c r="R36" s="89"/>
    </x:row>
    <x:row r="37" spans="2:12" ht="19.5" customHeight="1">
      <x:c r="B37" s="133" t="s">
        <x:v>91</x:v>
      </x:c>
      <x:c r="C37" s="133"/>
      <x:c r="D37" s="133"/>
      <x:c r="E37" s="133"/>
      <x:c r="F37" s="133"/>
      <x:c r="G37" s="135">
        <x:f>SUM(G7:G36)</x:f>
        <x:v>52100</x:v>
      </x:c>
      <x:c r="H37" s="135">
        <x:f>SUM(H7:H36)</x:f>
        <x:v>34200</x:v>
      </x:c>
      <x:c r="I37" s="136">
        <x:f>IF(H37&lt;&gt;0,G37/H37,0)</x:f>
        <x:v>1.5233918128654971</x:v>
      </x:c>
      <x:c r="J37" s="134"/>
      <x:c r="K37" s="133"/>
      <x:c r="L37" s="133"/>
    </x:row>
    <x:row r="38" spans="7:9" ht="11.25" customHeight="1">
      <x:c r="G38" s="3"/>
      <x:c r="H38" s="16"/>
      <x:c r="I38" s="20"/>
    </x:row>
    <x:row r="39" spans="2:10" ht="19.5" customHeight="1">
      <x:c r="B39" s="101" t="s">
        <x:v>11</x:v>
      </x:c>
      <x:c r="C39" s="129">
        <x:v>2504</x:v>
      </x:c>
      <x:c r="D39" s="27"/>
      <x:c r="E39" s="27"/>
      <x:c r="F39" s="27"/>
      <x:c r="G39" s="138"/>
      <x:c r="H39" s="131"/>
      <x:c r="I39" s="139"/>
      <x:c r="J39" s="132"/>
    </x:row>
    <x:row r="40" ht="19.5" customHeight="1"/>
    <x:row r="41" spans="1:18" s="11" customFormat="1" ht="19.5" customHeight="1">
      <x:c r="A41" s="9"/>
      <x:c r="R41" s="89"/>
    </x:row>
    <x:row r="42" spans="1:18" s="11" customFormat="1" ht="19.5" customHeight="1">
      <x:c r="A42" s="9"/>
      <x:c r="G42" s="62"/>
      <x:c r="H42" s="62"/>
      <x:c r="I42" s="62"/>
      <x:c r="R42" s="89"/>
    </x:row>
    <x:row r="43" spans="7:9" ht="19.5" customHeight="1">
      <x:c r="G43" s="62"/>
      <x:c r="H43" s="62"/>
      <x:c r="I43" s="62"/>
    </x:row>
    <x:row r="44" spans="7:9" ht="28.5" customHeight="1">
      <x:c r="G44" s="62"/>
      <x:c r="H44" s="62"/>
      <x:c r="I44" s="62"/>
    </x:row>
    <x:row r="45" spans="7:9" ht="28.5" customHeight="1">
      <x:c r="G45" s="62"/>
      <x:c r="H45" s="62"/>
      <x:c r="I45" s="62"/>
    </x:row>
    <x:row r="46" spans="7:9" ht="28.5" customHeight="1">
      <x:c r="G46" s="62"/>
      <x:c r="H46" s="62"/>
      <x:c r="I46" s="62"/>
    </x:row>
    <x:row r="47" spans="7:9" ht="28.5" customHeight="1">
      <x:c r="G47" s="62"/>
      <x:c r="H47" s="62"/>
      <x:c r="I47" s="62"/>
    </x:row>
    <x:row r="48" spans="7:9" ht="22.5" customHeight="1">
      <x:c r="G48" s="62"/>
      <x:c r="H48" s="62"/>
      <x:c r="I48" s="62"/>
    </x:row>
    <x:row r="49" spans="7:9">
      <x:c r="G49" s="62"/>
      <x:c r="H49" s="62"/>
      <x:c r="I49" s="62"/>
    </x:row>
    <x:row r="50" spans="7:9">
      <x:c r="G50" s="62"/>
      <x:c r="H50" s="62"/>
      <x:c r="I50" s="62"/>
    </x:row>
    <x:row r="51" spans="7:9">
      <x:c r="G51" s="62"/>
      <x:c r="H51" s="62"/>
      <x:c r="I51" s="62"/>
    </x:row>
  </x:sheetData>
  <x:sortState columnSort="0" caseSensitive="0" ref="C10:I12">
    <x:sortCondition descending="0" sortBy="value" ref="I10:I12"/>
  </x:sortState>
  <x:mergeCells count="16">
    <x:mergeCell ref="B2:L2"/>
    <x:mergeCell ref="B4:C4"/>
    <x:mergeCell ref="N7:Q8"/>
    <x:mergeCell ref="N9:Q9"/>
    <x:mergeCell ref="O10:Q10"/>
    <x:mergeCell ref="O12:Q12"/>
    <x:mergeCell ref="O13:Q13"/>
    <x:mergeCell ref="O14:P14"/>
    <x:mergeCell ref="O15:P15"/>
    <x:mergeCell ref="O16:P16"/>
    <x:mergeCell ref="O17:P17"/>
    <x:mergeCell ref="O18:P18"/>
    <x:mergeCell ref="N20:Q20"/>
    <x:mergeCell ref="N22:Q22"/>
    <x:mergeCell ref="N24:Q24"/>
    <x:mergeCell ref="N26:Q26"/>
  </x:mergeCells>
  <x:printOptions horizontalCentered="1" verticalCentered="1" headings="0" gridLines="0" gridLinesSet="1"/>
  <x:pageMargins left="0.78694444894790649" right="0.78694444894790649" top="0.39375001192092896" bottom="0.39375001192092896" header="0.39375001192092896" footer="0.39375001192092896"/>
  <x:pageSetup paperSize="9" scale="100" firstPageNumber="1" fitToWidth="1" fitToHeight="1" orientation="portrait" usePrinterDefaults="1" blackAndWhite="0" draft="0" useFirstPageNumber="0" horizontalDpi="0" verticalDpi="0" copies="1"/>
  <x:drawing r:id="rId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13"/>
  <x:dimension ref="A1:R51"/>
  <x:sheetViews>
    <x:sheetView topLeftCell="A1" zoomScale="80" zoomScaleNormal="80" zoomScaleSheetLayoutView="75" workbookViewId="0">
      <x:selection activeCell="Q32" activeCellId="0" sqref="Q32:Q32"/>
    </x:sheetView>
  </x:sheetViews>
  <x:sheetFormatPr defaultColWidth="9.00390625" defaultRowHeight="23.5"/>
  <x:cols>
    <x:col min="1" max="1" width="1.875" style="9" customWidth="1"/>
    <x:col min="2" max="2" width="5.4296875" style="9" bestFit="1" customWidth="1"/>
    <x:col min="3" max="3" width="6.6953125" style="9" bestFit="1" customWidth="1"/>
    <x:col min="4" max="5" width="9.05859375" style="9" bestFit="1" customWidth="1"/>
    <x:col min="6" max="6" width="7.640625" style="9" bestFit="1" customWidth="1"/>
    <x:col min="7" max="7" width="10.32421875" style="9" bestFit="1" customWidth="1"/>
    <x:col min="8" max="8" width="9.05859375" style="9" bestFit="1" customWidth="1"/>
    <x:col min="9" max="9" width="7.8046875" style="9" bestFit="1" customWidth="1"/>
    <x:col min="10" max="10" width="5.4296875" style="144" bestFit="1" customWidth="1"/>
    <x:col min="11" max="11" width="5.4296875" style="9" bestFit="1" customWidth="1"/>
    <x:col min="12" max="12" width="7.640625" style="9" bestFit="1" customWidth="1"/>
    <x:col min="13" max="13" width="1.875" style="11" customWidth="1"/>
    <x:col min="14" max="14" width="9.8515625" style="11" bestFit="1" customWidth="1"/>
    <x:col min="15" max="15" width="6.0625" style="11" bestFit="1" customWidth="1"/>
    <x:col min="16" max="16" width="7.640625" style="11" bestFit="1" customWidth="1"/>
    <x:col min="17" max="17" width="10.375" style="11" customWidth="1"/>
    <x:col min="18" max="18" width="1.875" style="89" customWidth="1"/>
    <x:col min="19" max="21" width="9" style="11"/>
    <x:col min="22" max="22" width="3.125" style="11" customWidth="1"/>
    <x:col min="23" max="16294" width="9" style="11"/>
    <x:col min="16295" max="16384" width="9.00390625" style="11"/>
  </x:cols>
  <x:sheetData>
    <x:row r="1" spans="2:12" ht="11.25" customHeight="1">
      <x:c r="B1" s="90"/>
      <x:c r="C1" s="90"/>
      <x:c r="D1" s="90"/>
      <x:c r="E1" s="90"/>
      <x:c r="F1" s="90"/>
      <x:c r="G1" s="90"/>
      <x:c r="H1" s="90"/>
      <x:c r="I1" s="90"/>
      <x:c r="J1" s="146"/>
      <x:c r="K1" s="90"/>
      <x:c r="L1" s="90"/>
    </x:row>
    <x:row r="2" spans="2:12" ht="19.5" customHeight="1">
      <x:c r="B2" s="221" t="str">
        <x:f>'1'!B2</x:f>
        <x:v>체리부로 26회차  출하 집계표</x:v>
      </x:c>
      <x:c r="C2" s="221"/>
      <x:c r="D2" s="221"/>
      <x:c r="E2" s="221"/>
      <x:c r="F2" s="221"/>
      <x:c r="G2" s="221"/>
      <x:c r="H2" s="221"/>
      <x:c r="I2" s="221"/>
      <x:c r="J2" s="221"/>
      <x:c r="K2" s="221"/>
      <x:c r="L2" s="221" t="s">
        <x:v>197</x:v>
      </x:c>
    </x:row>
    <x:row r="3" spans="2:12" ht="11.25" customHeight="1">
      <x:c r="B3" s="92"/>
      <x:c r="C3" s="92"/>
      <x:c r="D3" s="92"/>
      <x:c r="E3" s="92"/>
      <x:c r="F3" s="92"/>
      <x:c r="G3" s="92"/>
      <x:c r="H3" s="92"/>
      <x:c r="I3" s="92"/>
      <x:c r="J3" s="146"/>
      <x:c r="K3" s="92"/>
      <x:c r="L3" s="92"/>
    </x:row>
    <x:row r="4" spans="2:12" ht="19.5" customHeight="1">
      <x:c r="B4" s="222">
        <x:v>46044</x:v>
      </x:c>
      <x:c r="C4" s="222"/>
      <x:c r="D4" s="94"/>
      <x:c r="E4" s="94"/>
      <x:c r="F4" s="95">
        <x:v>30</x:v>
      </x:c>
      <x:c r="G4" s="96" t="s">
        <x:v>103</x:v>
      </x:c>
      <x:c r="H4" s="97">
        <x:v>1.75</x:v>
      </x:c>
      <x:c r="I4" s="98" t="s">
        <x:v>108</x:v>
      </x:c>
      <x:c r="J4" s="146"/>
      <x:c r="K4" s="92"/>
      <x:c r="L4" s="92"/>
    </x:row>
    <x:row r="5" spans="2:12" ht="11.25" customHeight="1">
      <x:c r="B5" s="99"/>
      <x:c r="C5" s="92"/>
      <x:c r="D5" s="92"/>
      <x:c r="E5" s="92"/>
      <x:c r="F5" s="92"/>
      <x:c r="G5" s="92"/>
      <x:c r="H5" s="92"/>
      <x:c r="I5" s="99"/>
      <x:c r="J5" s="146"/>
      <x:c r="K5" s="92"/>
      <x:c r="L5" s="92"/>
    </x:row>
    <x:row r="6" spans="2:18" ht="21" customHeight="1">
      <x:c r="B6" s="133" t="s">
        <x:v>105</x:v>
      </x:c>
      <x:c r="C6" s="133" t="s">
        <x:v>50</x:v>
      </x:c>
      <x:c r="D6" s="133" t="s">
        <x:v>4</x:v>
      </x:c>
      <x:c r="E6" s="133" t="s">
        <x:v>58</x:v>
      </x:c>
      <x:c r="F6" s="133" t="s">
        <x:v>14</x:v>
      </x:c>
      <x:c r="G6" s="133" t="s">
        <x:v>7</x:v>
      </x:c>
      <x:c r="H6" s="133" t="s">
        <x:v>75</x:v>
      </x:c>
      <x:c r="I6" s="133" t="s">
        <x:v>104</x:v>
      </x:c>
      <x:c r="J6" s="134" t="s">
        <x:v>5</x:v>
      </x:c>
      <x:c r="K6" s="133" t="s">
        <x:v>102</x:v>
      </x:c>
      <x:c r="L6" s="133" t="s">
        <x:v>21</x:v>
      </x:c>
      <x:c r="N6" s="3"/>
      <x:c r="O6" s="3"/>
      <x:c r="P6" s="3"/>
      <x:c r="Q6" s="3"/>
      <x:c r="R6" s="100"/>
    </x:row>
    <x:row r="7" spans="2:18" ht="19.5" customHeight="1">
      <x:c r="B7" s="133">
        <x:v>1</x:v>
      </x:c>
      <x:c r="C7" s="101">
        <x:v>2419</x:v>
      </x:c>
      <x:c r="D7" s="102">
        <x:v>9010</x:v>
      </x:c>
      <x:c r="E7" s="103">
        <x:v>14660</x:v>
      </x:c>
      <x:c r="F7" s="104" t="s">
        <x:v>111</x:v>
      </x:c>
      <x:c r="G7" s="105">
        <x:f>IF(E7="","",E7-D7)</x:f>
        <x:v>5650</x:v>
      </x:c>
      <x:c r="H7" s="105">
        <x:v>3000</x:v>
      </x:c>
      <x:c r="I7" s="106">
        <x:f>IF(G7&lt;&gt;"",G7/H7,"")</x:f>
        <x:v>1.8833333333333333</x:v>
      </x:c>
      <x:c r="J7" s="153">
        <x:v>8</x:v>
      </x:c>
      <x:c r="K7" s="107" t="str">
        <x:f>IF(C7&lt;&gt;"","완료","")</x:f>
        <x:v>완료</x:v>
      </x:c>
      <x:c r="L7" s="101" t="s">
        <x:v>116</x:v>
      </x:c>
      <x:c r="N7" s="223" t="s">
        <x:v>148</x:v>
      </x:c>
      <x:c r="O7" s="224"/>
      <x:c r="P7" s="224"/>
      <x:c r="Q7" s="225"/>
      <x:c r="R7" s="108"/>
    </x:row>
    <x:row r="8" spans="2:18" ht="19.5" customHeight="1">
      <x:c r="B8" s="133">
        <x:f>B7+1</x:f>
        <x:v>2</x:v>
      </x:c>
      <x:c r="C8" s="101">
        <x:v>5599</x:v>
      </x:c>
      <x:c r="D8" s="103">
        <x:v>7760</x:v>
      </x:c>
      <x:c r="E8" s="103">
        <x:v>13455</x:v>
      </x:c>
      <x:c r="F8" s="104" t="s">
        <x:v>79</x:v>
      </x:c>
      <x:c r="G8" s="105">
        <x:f>IF(E8="","",E8-D8)</x:f>
        <x:v>5695</x:v>
      </x:c>
      <x:c r="H8" s="105">
        <x:f>IF(G8&lt;&gt;"",$H$7,"")</x:f>
        <x:v>3000</x:v>
      </x:c>
      <x:c r="I8" s="106">
        <x:f>IF(G8&lt;&gt;"",G8/H8,"")</x:f>
        <x:v>1.8983333333333334</x:v>
      </x:c>
      <x:c r="J8" s="153">
        <x:v>8</x:v>
      </x:c>
      <x:c r="K8" s="107" t="str">
        <x:f>IF(C8&lt;&gt;"","완료","")</x:f>
        <x:v>완료</x:v>
      </x:c>
      <x:c r="L8" s="101" t="s">
        <x:v>116</x:v>
      </x:c>
      <x:c r="N8" s="226"/>
      <x:c r="O8" s="227"/>
      <x:c r="P8" s="227"/>
      <x:c r="Q8" s="228"/>
      <x:c r="R8" s="108"/>
    </x:row>
    <x:row r="9" spans="2:18" ht="19.5" customHeight="1">
      <x:c r="B9" s="133">
        <x:f>B8+1</x:f>
        <x:v>3</x:v>
      </x:c>
      <x:c r="C9" s="101">
        <x:v>5007</x:v>
      </x:c>
      <x:c r="D9" s="103">
        <x:v>9240</x:v>
      </x:c>
      <x:c r="E9" s="103">
        <x:v>14900</x:v>
      </x:c>
      <x:c r="F9" s="104" t="s">
        <x:v>85</x:v>
      </x:c>
      <x:c r="G9" s="105">
        <x:f>IF(E9="","",E9-D9)</x:f>
        <x:v>5660</x:v>
      </x:c>
      <x:c r="H9" s="105">
        <x:f>IF(G9&lt;&gt;"",$H$7,"")</x:f>
        <x:v>3000</x:v>
      </x:c>
      <x:c r="I9" s="106">
        <x:f>IF(G9&lt;&gt;"",G9/H9,"")</x:f>
        <x:v>1.8866666666666667</x:v>
      </x:c>
      <x:c r="J9" s="153">
        <x:v>8</x:v>
      </x:c>
      <x:c r="K9" s="107" t="str">
        <x:f>IF(C9&lt;&gt;"","완료","")</x:f>
        <x:v>완료</x:v>
      </x:c>
      <x:c r="L9" s="101" t="s">
        <x:v>90</x:v>
      </x:c>
      <x:c r="N9" s="229" t="s">
        <x:v>172</x:v>
      </x:c>
      <x:c r="O9" s="230"/>
      <x:c r="P9" s="230"/>
      <x:c r="Q9" s="231"/>
      <x:c r="R9" s="100"/>
    </x:row>
    <x:row r="10" spans="2:18" ht="19.5" customHeight="1">
      <x:c r="B10" s="133">
        <x:f>B9+1</x:f>
        <x:v>4</x:v>
      </x:c>
      <x:c r="C10" s="101">
        <x:v>5343</x:v>
      </x:c>
      <x:c r="D10" s="103">
        <x:v>9475</x:v>
      </x:c>
      <x:c r="E10" s="103">
        <x:v>15030</x:v>
      </x:c>
      <x:c r="F10" s="104" t="s">
        <x:v>127</x:v>
      </x:c>
      <x:c r="G10" s="105">
        <x:f>IF(E10="","",E10-D10)</x:f>
        <x:v>5555</x:v>
      </x:c>
      <x:c r="H10" s="105">
        <x:f>IF(G10&lt;&gt;"",$H$7,"")</x:f>
        <x:v>3000</x:v>
      </x:c>
      <x:c r="I10" s="106">
        <x:f>IF(G10&lt;&gt;"",G10/H10,"")</x:f>
        <x:v>1.8516666666666666</x:v>
      </x:c>
      <x:c r="J10" s="153">
        <x:v>8</x:v>
      </x:c>
      <x:c r="K10" s="107" t="str">
        <x:f>IF(C10&lt;&gt;"","완료","")</x:f>
        <x:v>완료</x:v>
      </x:c>
      <x:c r="L10" s="101" t="s">
        <x:v>90</x:v>
      </x:c>
      <x:c r="N10" s="101" t="s">
        <x:v>143</x:v>
      </x:c>
      <x:c r="O10" s="232">
        <x:f ca="1">NOW()</x:f>
        <x:v>46088.592185856483</x:v>
      </x:c>
      <x:c r="P10" s="233"/>
      <x:c r="Q10" s="234"/>
      <x:c r="R10" s="109"/>
    </x:row>
    <x:row r="11" spans="2:18" ht="19.5" customHeight="1">
      <x:c r="B11" s="133">
        <x:f>B10+1</x:f>
        <x:v>5</x:v>
      </x:c>
      <x:c r="C11" s="101">
        <x:v>9266</x:v>
      </x:c>
      <x:c r="D11" s="103">
        <x:v>8575</x:v>
      </x:c>
      <x:c r="E11" s="103">
        <x:v>14280</x:v>
      </x:c>
      <x:c r="F11" s="104" t="s">
        <x:v>125</x:v>
      </x:c>
      <x:c r="G11" s="105">
        <x:f>IF(E11="","",E11-D11)</x:f>
        <x:v>5705</x:v>
      </x:c>
      <x:c r="H11" s="105">
        <x:f>IF(G11&lt;&gt;"",$H$7,"")</x:f>
        <x:v>3000</x:v>
      </x:c>
      <x:c r="I11" s="106">
        <x:f>IF(G11&lt;&gt;"",G11/H11,"")</x:f>
        <x:v>1.9016666666666666</x:v>
      </x:c>
      <x:c r="J11" s="153">
        <x:v>8</x:v>
      </x:c>
      <x:c r="K11" s="107" t="str">
        <x:f>IF(C11&lt;&gt;"","완료","")</x:f>
        <x:v>완료</x:v>
      </x:c>
      <x:c r="L11" s="101" t="s">
        <x:v>90</x:v>
      </x:c>
      <x:c r="N11" s="101" t="s">
        <x:v>50</x:v>
      </x:c>
      <x:c r="O11" s="107">
        <x:f>C39</x:f>
        <x:v>5615</x:v>
      </x:c>
      <x:c r="P11" s="107" t="s">
        <x:v>73</x:v>
      </x:c>
      <x:c r="Q11" s="107" t="str">
        <x:f>VLOOKUP(O11,C7:I36,4,0)</x:f>
        <x:v>소기복</x:v>
      </x:c>
      <x:c r="R11" s="110"/>
    </x:row>
    <x:row r="12" spans="2:18" ht="19.5" customHeight="1">
      <x:c r="B12" s="133">
        <x:f>B11+1</x:f>
        <x:v>6</x:v>
      </x:c>
      <x:c r="C12" s="101">
        <x:v>8495</x:v>
      </x:c>
      <x:c r="D12" s="103">
        <x:v>8465</x:v>
      </x:c>
      <x:c r="E12" s="103">
        <x:v>14715</x:v>
      </x:c>
      <x:c r="F12" s="104" t="s">
        <x:v>109</x:v>
      </x:c>
      <x:c r="G12" s="105">
        <x:f>IF(E12="","",E12-D12)</x:f>
        <x:v>6250</x:v>
      </x:c>
      <x:c r="H12" s="105">
        <x:v>3200</x:v>
      </x:c>
      <x:c r="I12" s="106">
        <x:f>IF(G12&lt;&gt;"",G12/H12,"")</x:f>
        <x:v>1.953125</x:v>
      </x:c>
      <x:c r="J12" s="153">
        <x:v>8</x:v>
      </x:c>
      <x:c r="K12" s="107" t="str">
        <x:f>IF(C12&lt;&gt;"","완료","")</x:f>
        <x:v>완료</x:v>
      </x:c>
      <x:c r="L12" s="101" t="s">
        <x:v>126</x:v>
      </x:c>
      <x:c r="N12" s="101" t="s">
        <x:v>182</x:v>
      </x:c>
      <x:c r="O12" s="235" t="s">
        <x:v>180</x:v>
      </x:c>
      <x:c r="P12" s="235"/>
      <x:c r="Q12" s="235"/>
      <x:c r="R12" s="109"/>
    </x:row>
    <x:row r="13" spans="2:18" ht="19.5" customHeight="1">
      <x:c r="B13" s="133">
        <x:f>B12+1</x:f>
        <x:v>7</x:v>
      </x:c>
      <x:c r="C13" s="101">
        <x:v>7197</x:v>
      </x:c>
      <x:c r="D13" s="103">
        <x:v>8220</x:v>
      </x:c>
      <x:c r="E13" s="103">
        <x:v>13655</x:v>
      </x:c>
      <x:c r="F13" s="104" t="s">
        <x:v>118</x:v>
      </x:c>
      <x:c r="G13" s="105">
        <x:f>IF(E13="","",E13-D13)</x:f>
        <x:v>5435</x:v>
      </x:c>
      <x:c r="H13" s="105">
        <x:f>IF(G13&lt;&gt;"",$H$7,"")</x:f>
        <x:v>3000</x:v>
      </x:c>
      <x:c r="I13" s="106">
        <x:f>IF(G13&lt;&gt;"",G13/H13,"")</x:f>
        <x:v>1.8116666666666668</x:v>
      </x:c>
      <x:c r="J13" s="153">
        <x:v>8</x:v>
      </x:c>
      <x:c r="K13" s="107" t="str">
        <x:f>IF(C13&lt;&gt;"","완료","")</x:f>
        <x:v>완료</x:v>
      </x:c>
      <x:c r="L13" s="101" t="s">
        <x:v>126</x:v>
      </x:c>
      <x:c r="N13" s="101" t="s">
        <x:v>93</x:v>
      </x:c>
      <x:c r="O13" s="235" t="s">
        <x:v>82</x:v>
      </x:c>
      <x:c r="P13" s="235"/>
      <x:c r="Q13" s="235"/>
      <x:c r="R13" s="109"/>
    </x:row>
    <x:row r="14" spans="1:18" s="11" customFormat="1" ht="19.5" customHeight="1">
      <x:c r="A14" s="9"/>
      <x:c r="B14" s="133">
        <x:f>B13+1</x:f>
        <x:v>8</x:v>
      </x:c>
      <x:c r="C14" s="101">
        <x:v>6790</x:v>
      </x:c>
      <x:c r="D14" s="103">
        <x:v>7905</x:v>
      </x:c>
      <x:c r="E14" s="103">
        <x:v>13785</x:v>
      </x:c>
      <x:c r="F14" s="104" t="s">
        <x:v>78</x:v>
      </x:c>
      <x:c r="G14" s="105">
        <x:f>IF(E14="","",E14-D14)</x:f>
        <x:v>5880</x:v>
      </x:c>
      <x:c r="H14" s="105">
        <x:v>3240</x:v>
      </x:c>
      <x:c r="I14" s="106">
        <x:f>IF(G14&lt;&gt;"",G14/H14,"")</x:f>
        <x:v>1.8148148148148149</x:v>
      </x:c>
      <x:c r="J14" s="140" t="s">
        <x:v>26</x:v>
      </x:c>
      <x:c r="K14" s="107" t="str">
        <x:f>IF(C14&lt;&gt;"","완료","")</x:f>
        <x:v>완료</x:v>
      </x:c>
      <x:c r="L14" s="101" t="s">
        <x:v>126</x:v>
      </x:c>
      <x:c r="N14" s="101" t="s">
        <x:v>168</x:v>
      </x:c>
      <x:c r="O14" s="236">
        <x:f>VLOOKUP(O11,C7:I36,2,0)</x:f>
        <x:v>8760</x:v>
      </x:c>
      <x:c r="P14" s="237"/>
      <x:c r="Q14" s="111" t="s">
        <x:v>108</x:v>
      </x:c>
      <x:c r="R14" s="109"/>
    </x:row>
    <x:row r="15" spans="1:18" s="11" customFormat="1" ht="19.5" customHeight="1">
      <x:c r="A15" s="9"/>
      <x:c r="B15" s="133">
        <x:f>B14+1</x:f>
        <x:v>9</x:v>
      </x:c>
      <x:c r="C15" s="101">
        <x:v>2914</x:v>
      </x:c>
      <x:c r="D15" s="103">
        <x:v>8690</x:v>
      </x:c>
      <x:c r="E15" s="103">
        <x:v>13090</x:v>
      </x:c>
      <x:c r="F15" s="104" t="str">
        <x:f>IF(C15&lt;&gt;"",VLOOKUP(C15,명단!$C$4:$F$90,2,FALSE),"")</x:f>
        <x:v>홍월식</x:v>
      </x:c>
      <x:c r="G15" s="105">
        <x:f>IF(E15="","",E15-D15)</x:f>
        <x:v>4400</x:v>
      </x:c>
      <x:c r="H15" s="105">
        <x:v>2480</x:v>
      </x:c>
      <x:c r="I15" s="106">
        <x:f>IF(G15&lt;&gt;"",G15/H15,"")</x:f>
        <x:v>1.7741935483870968</x:v>
      </x:c>
      <x:c r="J15" s="153">
        <x:v>7</x:v>
      </x:c>
      <x:c r="K15" s="107" t="str">
        <x:f>IF(C15&lt;&gt;"","완료","")</x:f>
        <x:v>완료</x:v>
      </x:c>
      <x:c r="L15" s="101"/>
      <x:c r="N15" s="101" t="s">
        <x:v>149</x:v>
      </x:c>
      <x:c r="O15" s="236">
        <x:f>VLOOKUP(O11,C7:I36,3,0)</x:f>
        <x:v>13130</x:v>
      </x:c>
      <x:c r="P15" s="237"/>
      <x:c r="Q15" s="112" t="s">
        <x:v>108</x:v>
      </x:c>
      <x:c r="R15" s="109"/>
    </x:row>
    <x:row r="16" spans="1:18" s="11" customFormat="1" ht="19.5" customHeight="1">
      <x:c r="A16" s="9"/>
      <x:c r="B16" s="133">
        <x:f>B15+1</x:f>
        <x:v>10</x:v>
      </x:c>
      <x:c r="C16" s="101">
        <x:v>6797</x:v>
      </x:c>
      <x:c r="D16" s="103">
        <x:v>8310</x:v>
      </x:c>
      <x:c r="E16" s="103">
        <x:v>12725</x:v>
      </x:c>
      <x:c r="F16" s="104" t="str">
        <x:f>IF(C16&lt;&gt;"",VLOOKUP(C16,명단!$C$4:$F$90,2,FALSE),"")</x:f>
        <x:v>엄익수</x:v>
      </x:c>
      <x:c r="G16" s="105">
        <x:f>IF(E16="","",E16-D16)</x:f>
        <x:v>4415</x:v>
      </x:c>
      <x:c r="H16" s="105">
        <x:f>IF(G16&lt;&gt;"",$H$15,"")</x:f>
        <x:v>2480</x:v>
      </x:c>
      <x:c r="I16" s="106">
        <x:f>IF(G16&lt;&gt;"",G16/H16,"")</x:f>
        <x:v>1.780241935483871</x:v>
      </x:c>
      <x:c r="J16" s="153">
        <x:v>7</x:v>
      </x:c>
      <x:c r="K16" s="107" t="str">
        <x:f>IF(C16&lt;&gt;"","완료","")</x:f>
        <x:v>완료</x:v>
      </x:c>
      <x:c r="L16" s="101"/>
      <x:c r="N16" s="101" t="s">
        <x:v>145</x:v>
      </x:c>
      <x:c r="O16" s="236">
        <x:f>VLOOKUP(O11,C7:I36,5,0)</x:f>
        <x:v>4370</x:v>
      </x:c>
      <x:c r="P16" s="237"/>
      <x:c r="Q16" s="112" t="s">
        <x:v>108</x:v>
      </x:c>
      <x:c r="R16" s="109"/>
    </x:row>
    <x:row r="17" spans="1:18" s="11" customFormat="1" ht="19.5" customHeight="1">
      <x:c r="A17" s="9"/>
      <x:c r="B17" s="133">
        <x:f>B16+1</x:f>
        <x:v>11</x:v>
      </x:c>
      <x:c r="C17" s="101">
        <x:v>5619</x:v>
      </x:c>
      <x:c r="D17" s="103">
        <x:v>9055</x:v>
      </x:c>
      <x:c r="E17" s="103">
        <x:v>13425</x:v>
      </x:c>
      <x:c r="F17" s="104" t="str">
        <x:f>IF(C17&lt;&gt;"",VLOOKUP(C17,명단!$C$4:$F$90,2,FALSE),"")</x:f>
        <x:v>송승원</x:v>
      </x:c>
      <x:c r="G17" s="105">
        <x:f>IF(E17="","",E17-D17)</x:f>
        <x:v>4370</x:v>
      </x:c>
      <x:c r="H17" s="105">
        <x:f>IF(G17&lt;&gt;"",$H$15,"")</x:f>
        <x:v>2480</x:v>
      </x:c>
      <x:c r="I17" s="106">
        <x:f>IF(G17&lt;&gt;"",G17/H17,"")</x:f>
        <x:v>1.7620967741935485</x:v>
      </x:c>
      <x:c r="J17" s="153">
        <x:v>7</x:v>
      </x:c>
      <x:c r="K17" s="107" t="str">
        <x:f>IF(C17&lt;&gt;"","완료","")</x:f>
        <x:v>완료</x:v>
      </x:c>
      <x:c r="L17" s="101"/>
      <x:c r="N17" s="101" t="s">
        <x:v>104</x:v>
      </x:c>
      <x:c r="O17" s="238">
        <x:f>VLOOKUP(O11,C7:I36,7,0)</x:f>
        <x:v>1.7620967741935485</x:v>
      </x:c>
      <x:c r="P17" s="239"/>
      <x:c r="Q17" s="113" t="s">
        <x:v>108</x:v>
      </x:c>
      <x:c r="R17" s="109"/>
    </x:row>
    <x:row r="18" spans="1:18" s="11" customFormat="1" ht="19.5" customHeight="1">
      <x:c r="A18" s="9"/>
      <x:c r="B18" s="133">
        <x:f>B17+1</x:f>
        <x:v>12</x:v>
      </x:c>
      <x:c r="C18" s="101">
        <x:v>3447</x:v>
      </x:c>
      <x:c r="D18" s="103">
        <x:v>8450</x:v>
      </x:c>
      <x:c r="E18" s="103">
        <x:v>12885</x:v>
      </x:c>
      <x:c r="F18" s="104" t="str">
        <x:f>IF(C18&lt;&gt;"",VLOOKUP(C18,명단!$C$4:$F$90,2,FALSE),"")</x:f>
        <x:v>전봉근</x:v>
      </x:c>
      <x:c r="G18" s="105">
        <x:f>IF(E18="","",E18-D18)</x:f>
        <x:v>4435</x:v>
      </x:c>
      <x:c r="H18" s="105">
        <x:f>IF(G18&lt;&gt;"",$H$15,"")</x:f>
        <x:v>2480</x:v>
      </x:c>
      <x:c r="I18" s="106">
        <x:f>IF(G18&lt;&gt;"",G18/H18,"")</x:f>
        <x:v>1.7883064516129032</x:v>
      </x:c>
      <x:c r="J18" s="153">
        <x:v>7</x:v>
      </x:c>
      <x:c r="K18" s="107" t="str">
        <x:f>IF(C18&lt;&gt;"","완료","")</x:f>
        <x:v>완료</x:v>
      </x:c>
      <x:c r="L18" s="101"/>
      <x:c r="N18" s="114" t="s">
        <x:v>75</x:v>
      </x:c>
      <x:c r="O18" s="236">
        <x:f>VLOOKUP(O11,C7:I36,6,0)</x:f>
        <x:v>2480</x:v>
      </x:c>
      <x:c r="P18" s="237"/>
      <x:c r="Q18" s="112" t="s">
        <x:v>59</x:v>
      </x:c>
      <x:c r="R18" s="109"/>
    </x:row>
    <x:row r="19" spans="1:18" s="11" customFormat="1" ht="19.5" customHeight="1">
      <x:c r="A19" s="9"/>
      <x:c r="B19" s="133">
        <x:f>B18+1</x:f>
        <x:v>13</x:v>
      </x:c>
      <x:c r="C19" s="101">
        <x:v>4550</x:v>
      </x:c>
      <x:c r="D19" s="103">
        <x:v>7870</x:v>
      </x:c>
      <x:c r="E19" s="103">
        <x:v>12065</x:v>
      </x:c>
      <x:c r="F19" s="104" t="str">
        <x:f>IF(C19&lt;&gt;"",VLOOKUP(C19,명단!$C$4:$F$90,2,FALSE),"")</x:f>
        <x:v>윤장열</x:v>
      </x:c>
      <x:c r="G19" s="105">
        <x:f>IF(E19="","",E19-D19)</x:f>
        <x:v>4195</x:v>
      </x:c>
      <x:c r="H19" s="105">
        <x:f>IF(G19&lt;&gt;"",$H$15,"")</x:f>
        <x:v>2480</x:v>
      </x:c>
      <x:c r="I19" s="106">
        <x:f>IF(G19&lt;&gt;"",G19/H19,"")</x:f>
        <x:v>1.6915322580645162</x:v>
      </x:c>
      <x:c r="J19" s="153">
        <x:v>7</x:v>
      </x:c>
      <x:c r="K19" s="107" t="str">
        <x:f>IF(C19&lt;&gt;"","완료","")</x:f>
        <x:v>완료</x:v>
      </x:c>
      <x:c r="L19" s="101"/>
      <x:c r="N19" s="115"/>
      <x:c r="O19" s="116"/>
      <x:c r="P19" s="116"/>
      <x:c r="Q19" s="117"/>
      <x:c r="R19" s="100"/>
    </x:row>
    <x:row r="20" spans="1:18" s="11" customFormat="1" ht="19.5" customHeight="1">
      <x:c r="A20" s="9"/>
      <x:c r="B20" s="133">
        <x:f>B19+1</x:f>
        <x:v>14</x:v>
      </x:c>
      <x:c r="C20" s="101">
        <x:v>5658</x:v>
      </x:c>
      <x:c r="D20" s="103">
        <x:v>8470</x:v>
      </x:c>
      <x:c r="E20" s="103">
        <x:v>12795</x:v>
      </x:c>
      <x:c r="F20" s="104" t="str">
        <x:f>IF(C20&lt;&gt;"",VLOOKUP(C20,명단!$C$4:$F$90,2,FALSE),"")</x:f>
        <x:v>김낙영</x:v>
      </x:c>
      <x:c r="G20" s="105">
        <x:f>IF(E20="","",E20-D20)</x:f>
        <x:v>4325</x:v>
      </x:c>
      <x:c r="H20" s="105">
        <x:f>IF(G20&lt;&gt;"",$H$15,"")</x:f>
        <x:v>2480</x:v>
      </x:c>
      <x:c r="I20" s="106">
        <x:f>IF(G20&lt;&gt;"",G20/H20,"")</x:f>
        <x:v>1.7439516129032258</x:v>
      </x:c>
      <x:c r="J20" s="153">
        <x:v>7</x:v>
      </x:c>
      <x:c r="K20" s="107" t="str">
        <x:f>IF(C20&lt;&gt;"","완료","")</x:f>
        <x:v>완료</x:v>
      </x:c>
      <x:c r="L20" s="101"/>
      <x:c r="N20" s="240" t="s">
        <x:v>198</x:v>
      </x:c>
      <x:c r="O20" s="241"/>
      <x:c r="P20" s="241"/>
      <x:c r="Q20" s="242"/>
      <x:c r="R20" s="118"/>
    </x:row>
    <x:row r="21" spans="1:18" s="11" customFormat="1" ht="19.5" customHeight="1">
      <x:c r="A21" s="9"/>
      <x:c r="B21" s="133">
        <x:f>B20+1</x:f>
        <x:v>15</x:v>
      </x:c>
      <x:c r="C21" s="101">
        <x:v>5831</x:v>
      </x:c>
      <x:c r="D21" s="103">
        <x:v>8615</x:v>
      </x:c>
      <x:c r="E21" s="103">
        <x:v>12880</x:v>
      </x:c>
      <x:c r="F21" s="104" t="str">
        <x:f>IF(C21&lt;&gt;"",VLOOKUP(C21,명단!$C$4:$F$90,2,FALSE),"")</x:f>
        <x:v>김주철</x:v>
      </x:c>
      <x:c r="G21" s="105">
        <x:f>IF(E21="","",E21-D21)</x:f>
        <x:v>4265</x:v>
      </x:c>
      <x:c r="H21" s="105">
        <x:f>IF(G21&lt;&gt;"",$H$15,"")</x:f>
        <x:v>2480</x:v>
      </x:c>
      <x:c r="I21" s="106">
        <x:f>IF(G21&lt;&gt;"",G21/H21,"")</x:f>
        <x:v>1.719758064516129</x:v>
      </x:c>
      <x:c r="J21" s="153">
        <x:v>7</x:v>
      </x:c>
      <x:c r="K21" s="107" t="str">
        <x:f>IF(C21&lt;&gt;"","완료","")</x:f>
        <x:v>완료</x:v>
      </x:c>
      <x:c r="L21" s="101"/>
      <x:c r="N21" s="119"/>
      <x:c r="O21" s="88"/>
      <x:c r="P21" s="88"/>
      <x:c r="Q21" s="120"/>
      <x:c r="R21" s="121"/>
    </x:row>
    <x:row r="22" spans="1:18" s="11" customFormat="1" ht="19.5" customHeight="1">
      <x:c r="A22" s="9"/>
      <x:c r="B22" s="133">
        <x:f>B21+1</x:f>
        <x:v>16</x:v>
      </x:c>
      <x:c r="C22" s="101">
        <x:v>7126</x:v>
      </x:c>
      <x:c r="D22" s="103">
        <x:v>8235</x:v>
      </x:c>
      <x:c r="E22" s="103">
        <x:v>12555</x:v>
      </x:c>
      <x:c r="F22" s="104" t="str">
        <x:f>IF(C22&lt;&gt;"",VLOOKUP(C22,명단!$C$4:$F$90,2,FALSE),"")</x:f>
        <x:v>전대권</x:v>
      </x:c>
      <x:c r="G22" s="105">
        <x:f>IF(E22="","",E22-D22)</x:f>
        <x:v>4320</x:v>
      </x:c>
      <x:c r="H22" s="105">
        <x:f>IF(G22&lt;&gt;"",$H$15,"")</x:f>
        <x:v>2480</x:v>
      </x:c>
      <x:c r="I22" s="106">
        <x:f>IF(G22&lt;&gt;"",G22/H22,"")</x:f>
        <x:v>1.7419354838709677</x:v>
      </x:c>
      <x:c r="J22" s="153">
        <x:v>7</x:v>
      </x:c>
      <x:c r="K22" s="107" t="str">
        <x:f>IF(C22&lt;&gt;"","완료","")</x:f>
        <x:v>완료</x:v>
      </x:c>
      <x:c r="L22" s="101"/>
      <x:c r="N22" s="243" t="s">
        <x:v>140</x:v>
      </x:c>
      <x:c r="O22" s="244"/>
      <x:c r="P22" s="244"/>
      <x:c r="Q22" s="245"/>
      <x:c r="R22" s="89"/>
    </x:row>
    <x:row r="23" spans="1:18" s="11" customFormat="1" ht="19.5" customHeight="1">
      <x:c r="A23" s="9"/>
      <x:c r="B23" s="133">
        <x:f>B22+1</x:f>
        <x:v>17</x:v>
      </x:c>
      <x:c r="C23" s="101">
        <x:v>1509</x:v>
      </x:c>
      <x:c r="D23" s="103">
        <x:v>8045</x:v>
      </x:c>
      <x:c r="E23" s="103">
        <x:v>12380</x:v>
      </x:c>
      <x:c r="F23" s="104" t="str">
        <x:f>IF(C23&lt;&gt;"",VLOOKUP(C23,명단!$C$4:$F$90,2,FALSE),"")</x:f>
        <x:v>김용태</x:v>
      </x:c>
      <x:c r="G23" s="105">
        <x:f>IF(E23="","",E23-D23)</x:f>
        <x:v>4335</x:v>
      </x:c>
      <x:c r="H23" s="105">
        <x:f>IF(G23&lt;&gt;"",$H$15,"")</x:f>
        <x:v>2480</x:v>
      </x:c>
      <x:c r="I23" s="106">
        <x:f>IF(G23&lt;&gt;"",G23/H23,"")</x:f>
        <x:v>1.747983870967742</x:v>
      </x:c>
      <x:c r="J23" s="153">
        <x:v>2</x:v>
      </x:c>
      <x:c r="K23" s="107" t="str">
        <x:f>IF(C23&lt;&gt;"","완료","")</x:f>
        <x:v>완료</x:v>
      </x:c>
      <x:c r="L23" s="101"/>
      <x:c r="N23" s="122"/>
      <x:c r="O23" s="87"/>
      <x:c r="P23" s="87"/>
      <x:c r="Q23" s="123"/>
      <x:c r="R23" s="121"/>
    </x:row>
    <x:row r="24" spans="1:18" s="11" customFormat="1" ht="19.5" customHeight="1">
      <x:c r="A24" s="9"/>
      <x:c r="B24" s="133">
        <x:f>B23+1</x:f>
        <x:v>18</x:v>
      </x:c>
      <x:c r="C24" s="101">
        <x:v>5870</x:v>
      </x:c>
      <x:c r="D24" s="103">
        <x:v>7915</x:v>
      </x:c>
      <x:c r="E24" s="103">
        <x:v>12195</x:v>
      </x:c>
      <x:c r="F24" s="104" t="str">
        <x:f>IF(C24&lt;&gt;"",VLOOKUP(C24,명단!$C$4:$F$90,2,FALSE),"")</x:f>
        <x:v>홍석희</x:v>
      </x:c>
      <x:c r="G24" s="105">
        <x:f>IF(E24="","",E24-D24)</x:f>
        <x:v>4280</x:v>
      </x:c>
      <x:c r="H24" s="105">
        <x:f>IF(G24&lt;&gt;"",$H$15,"")</x:f>
        <x:v>2480</x:v>
      </x:c>
      <x:c r="I24" s="106">
        <x:f>IF(G24&lt;&gt;"",G24/H24,"")</x:f>
        <x:v>1.7258064516129032</x:v>
      </x:c>
      <x:c r="J24" s="153">
        <x:v>2</x:v>
      </x:c>
      <x:c r="K24" s="107" t="str">
        <x:f>IF(C24&lt;&gt;"","완료","")</x:f>
        <x:v>완료</x:v>
      </x:c>
      <x:c r="L24" s="101"/>
      <x:c r="N24" s="240" t="s">
        <x:v>2</x:v>
      </x:c>
      <x:c r="O24" s="241"/>
      <x:c r="P24" s="241"/>
      <x:c r="Q24" s="242"/>
      <x:c r="R24" s="118"/>
    </x:row>
    <x:row r="25" spans="1:18" s="11" customFormat="1" ht="19.5" customHeight="1">
      <x:c r="A25" s="9"/>
      <x:c r="B25" s="133">
        <x:f>B24+1</x:f>
        <x:v>19</x:v>
      </x:c>
      <x:c r="C25" s="101">
        <x:v>5755</x:v>
      </x:c>
      <x:c r="D25" s="103">
        <x:v>8655</x:v>
      </x:c>
      <x:c r="E25" s="103">
        <x:v>12960</x:v>
      </x:c>
      <x:c r="F25" s="104" t="str">
        <x:f>IF(C25&lt;&gt;"",VLOOKUP(C25,명단!$C$4:$F$90,2,FALSE),"")</x:f>
        <x:v>남세윤</x:v>
      </x:c>
      <x:c r="G25" s="105">
        <x:f>IF(E25="","",E25-D25)</x:f>
        <x:v>4305</x:v>
      </x:c>
      <x:c r="H25" s="105">
        <x:f>IF(G25&lt;&gt;"",$H$15,"")</x:f>
        <x:v>2480</x:v>
      </x:c>
      <x:c r="I25" s="106">
        <x:f>IF(G25&lt;&gt;"",G25/H25,"")</x:f>
        <x:v>1.7358870967741935</x:v>
      </x:c>
      <x:c r="J25" s="153">
        <x:v>2</x:v>
      </x:c>
      <x:c r="K25" s="107" t="str">
        <x:f>IF(C25&lt;&gt;"","완료","")</x:f>
        <x:v>완료</x:v>
      </x:c>
      <x:c r="L25" s="101"/>
      <x:c r="N25" s="124"/>
      <x:c r="O25" s="118"/>
      <x:c r="P25" s="118"/>
      <x:c r="Q25" s="125"/>
      <x:c r="R25" s="118"/>
    </x:row>
    <x:row r="26" spans="1:18" s="11" customFormat="1" ht="19.5" customHeight="1">
      <x:c r="A26" s="9"/>
      <x:c r="B26" s="133">
        <x:f>B25+1</x:f>
        <x:v>20</x:v>
      </x:c>
      <x:c r="C26" s="101">
        <x:v>1340</x:v>
      </x:c>
      <x:c r="D26" s="103">
        <x:v>8485</x:v>
      </x:c>
      <x:c r="E26" s="103">
        <x:v>12745</x:v>
      </x:c>
      <x:c r="F26" s="104" t="str">
        <x:f>IF(C26&lt;&gt;"",VLOOKUP(C26,명단!$C$4:$F$90,2,FALSE),"")</x:f>
        <x:v>박근우</x:v>
      </x:c>
      <x:c r="G26" s="105">
        <x:f>IF(E26="","",E26-D26)</x:f>
        <x:v>4260</x:v>
      </x:c>
      <x:c r="H26" s="105">
        <x:f>IF(G26&lt;&gt;"",$H$15,"")</x:f>
        <x:v>2480</x:v>
      </x:c>
      <x:c r="I26" s="106">
        <x:f>IF(G26&lt;&gt;"",G26/H26,"")</x:f>
        <x:v>1.717741935483871</x:v>
      </x:c>
      <x:c r="J26" s="153">
        <x:v>2</x:v>
      </x:c>
      <x:c r="K26" s="107" t="str">
        <x:f>IF(C26&lt;&gt;"","완료","")</x:f>
        <x:v>완료</x:v>
      </x:c>
      <x:c r="L26" s="101"/>
      <x:c r="N26" s="240" t="s">
        <x:v>134</x:v>
      </x:c>
      <x:c r="O26" s="241"/>
      <x:c r="P26" s="241"/>
      <x:c r="Q26" s="242"/>
      <x:c r="R26" s="118"/>
    </x:row>
    <x:row r="27" spans="1:18" s="11" customFormat="1" ht="19.5" customHeight="1">
      <x:c r="A27" s="9"/>
      <x:c r="B27" s="133">
        <x:f>B26+1</x:f>
        <x:v>21</x:v>
      </x:c>
      <x:c r="C27" s="101">
        <x:v>5673</x:v>
      </x:c>
      <x:c r="D27" s="103">
        <x:v>8595</x:v>
      </x:c>
      <x:c r="E27" s="103">
        <x:v>12840</x:v>
      </x:c>
      <x:c r="F27" s="104" t="str">
        <x:f>IF(C27&lt;&gt;"",VLOOKUP(C27,명단!$C$4:$F$90,2,FALSE),"")</x:f>
        <x:v>주성돈</x:v>
      </x:c>
      <x:c r="G27" s="105">
        <x:f>IF(E27="","",E27-D27)</x:f>
        <x:v>4245</x:v>
      </x:c>
      <x:c r="H27" s="105">
        <x:f>IF(G27&lt;&gt;"",$H$15,"")</x:f>
        <x:v>2480</x:v>
      </x:c>
      <x:c r="I27" s="106">
        <x:f>IF(G27&lt;&gt;"",G27/H27,"")</x:f>
        <x:v>1.7116935483870968</x:v>
      </x:c>
      <x:c r="J27" s="153">
        <x:v>2</x:v>
      </x:c>
      <x:c r="K27" s="107" t="str">
        <x:f>IF(C27&lt;&gt;"","완료","")</x:f>
        <x:v>완료</x:v>
      </x:c>
      <x:c r="L27" s="101"/>
      <x:c r="N27" s="126"/>
      <x:c r="O27" s="127"/>
      <x:c r="P27" s="127"/>
      <x:c r="Q27" s="128"/>
      <x:c r="R27" s="121"/>
    </x:row>
    <x:row r="28" spans="1:18" s="11" customFormat="1" ht="19.5" customHeight="1">
      <x:c r="A28" s="9"/>
      <x:c r="B28" s="133">
        <x:f>B27+1</x:f>
        <x:v>22</x:v>
      </x:c>
      <x:c r="C28" s="101">
        <x:v>1294</x:v>
      </x:c>
      <x:c r="D28" s="103">
        <x:v>8440</x:v>
      </x:c>
      <x:c r="E28" s="103">
        <x:v>12570</x:v>
      </x:c>
      <x:c r="F28" s="104" t="str">
        <x:f>IF(C28&lt;&gt;"",VLOOKUP(C28,명단!$C$4:$F$90,2,FALSE),"")</x:f>
        <x:v>이병옥</x:v>
      </x:c>
      <x:c r="G28" s="105">
        <x:f>IF(E28="","",E28-D28)</x:f>
        <x:v>4130</x:v>
      </x:c>
      <x:c r="H28" s="105">
        <x:f>IF(G28&lt;&gt;"",$H$15,"")</x:f>
        <x:v>2480</x:v>
      </x:c>
      <x:c r="I28" s="106">
        <x:f>IF(G28&lt;&gt;"",G28/H28,"")</x:f>
        <x:v>1.6653225806451613</x:v>
      </x:c>
      <x:c r="J28" s="153">
        <x:v>2</x:v>
      </x:c>
      <x:c r="K28" s="107" t="str">
        <x:f>IF(C28&lt;&gt;"","완료","")</x:f>
        <x:v>완료</x:v>
      </x:c>
      <x:c r="L28" s="101"/>
      <x:c r="N28" s="3"/>
      <x:c r="O28" s="3"/>
      <x:c r="P28" s="3"/>
      <x:c r="Q28" s="3"/>
      <x:c r="R28" s="100"/>
    </x:row>
    <x:row r="29" spans="1:18" s="11" customFormat="1" ht="19.5" customHeight="1">
      <x:c r="A29" s="9"/>
      <x:c r="B29" s="133">
        <x:f>B28+1</x:f>
        <x:v>23</x:v>
      </x:c>
      <x:c r="C29" s="101">
        <x:v>5562</x:v>
      </x:c>
      <x:c r="D29" s="103">
        <x:v>8050</x:v>
      </x:c>
      <x:c r="E29" s="103">
        <x:v>12095</x:v>
      </x:c>
      <x:c r="F29" s="104" t="str">
        <x:f>IF(C29&lt;&gt;"",VLOOKUP(C29,명단!$C$4:$F$90,2,FALSE),"")</x:f>
        <x:v>오완수</x:v>
      </x:c>
      <x:c r="G29" s="105">
        <x:f>IF(E29="","",E29-D29)</x:f>
        <x:v>4045</x:v>
      </x:c>
      <x:c r="H29" s="105">
        <x:f>IF(G29&lt;&gt;"",$H$15,"")</x:f>
        <x:v>2480</x:v>
      </x:c>
      <x:c r="I29" s="106">
        <x:f>IF(G29&lt;&gt;"",G29/H29,"")</x:f>
        <x:v>1.6310483870967742</x:v>
      </x:c>
      <x:c r="J29" s="153">
        <x:v>2</x:v>
      </x:c>
      <x:c r="K29" s="107" t="str">
        <x:f>IF(C29&lt;&gt;"","완료","")</x:f>
        <x:v>완료</x:v>
      </x:c>
      <x:c r="L29" s="101"/>
      <x:c r="R29" s="100"/>
    </x:row>
    <x:row r="30" spans="1:18" s="11" customFormat="1" ht="19.5" customHeight="1">
      <x:c r="A30" s="9"/>
      <x:c r="B30" s="133">
        <x:f>B29+1</x:f>
        <x:v>24</x:v>
      </x:c>
      <x:c r="C30" s="101">
        <x:v>5784</x:v>
      </x:c>
      <x:c r="D30" s="103">
        <x:v>7775</x:v>
      </x:c>
      <x:c r="E30" s="103">
        <x:v>11700</x:v>
      </x:c>
      <x:c r="F30" s="104" t="str">
        <x:f>IF(C30&lt;&gt;"",VLOOKUP(C30,명단!$C$4:$F$90,2,FALSE),"")</x:f>
        <x:v>정영천</x:v>
      </x:c>
      <x:c r="G30" s="105">
        <x:f>IF(E30="","",E30-D30)</x:f>
        <x:v>3925</x:v>
      </x:c>
      <x:c r="H30" s="105">
        <x:f>IF(G30&lt;&gt;"",$H$15,"")</x:f>
        <x:v>2480</x:v>
      </x:c>
      <x:c r="I30" s="106">
        <x:f>IF(G30&lt;&gt;"",G30/H30,"")</x:f>
        <x:v>1.5826612903225807</x:v>
      </x:c>
      <x:c r="J30" s="153">
        <x:v>2</x:v>
      </x:c>
      <x:c r="K30" s="107" t="str">
        <x:f>IF(C30&lt;&gt;"","완료","")</x:f>
        <x:v>완료</x:v>
      </x:c>
      <x:c r="L30" s="101"/>
      <x:c r="R30" s="89"/>
    </x:row>
    <x:row r="31" spans="1:18" s="11" customFormat="1" ht="19.5" customHeight="1">
      <x:c r="A31" s="9"/>
      <x:c r="B31" s="133">
        <x:f>B30+1</x:f>
        <x:v>25</x:v>
      </x:c>
      <x:c r="C31" s="101">
        <x:v>6680</x:v>
      </x:c>
      <x:c r="D31" s="103">
        <x:v>8515</x:v>
      </x:c>
      <x:c r="E31" s="103">
        <x:v>12530</x:v>
      </x:c>
      <x:c r="F31" s="104" t="str">
        <x:f>IF(C31&lt;&gt;"",VLOOKUP(C31,명단!$C$4:$F$90,2,FALSE),"")</x:f>
        <x:v>신동수</x:v>
      </x:c>
      <x:c r="G31" s="105">
        <x:f>IF(E31="","",E31-D31)</x:f>
        <x:v>4015</x:v>
      </x:c>
      <x:c r="H31" s="105">
        <x:f>IF(G31&lt;&gt;"",$H$15,"")</x:f>
        <x:v>2480</x:v>
      </x:c>
      <x:c r="I31" s="106">
        <x:f>IF(G31&lt;&gt;"",G31/H31,"")</x:f>
        <x:v>1.6189516129032258</x:v>
      </x:c>
      <x:c r="J31" s="153">
        <x:v>2</x:v>
      </x:c>
      <x:c r="K31" s="107" t="str">
        <x:f>IF(C31&lt;&gt;"","완료","")</x:f>
        <x:v>완료</x:v>
      </x:c>
      <x:c r="L31" s="101"/>
      <x:c r="R31" s="89"/>
    </x:row>
    <x:row r="32" spans="2:12" ht="21" customHeight="1">
      <x:c r="B32" s="133">
        <x:f>B31+1</x:f>
        <x:v>26</x:v>
      </x:c>
      <x:c r="C32" s="101">
        <x:v>6762</x:v>
      </x:c>
      <x:c r="D32" s="103">
        <x:v>8450</x:v>
      </x:c>
      <x:c r="E32" s="103">
        <x:v>12440</x:v>
      </x:c>
      <x:c r="F32" s="104" t="str">
        <x:f>IF(C32&lt;&gt;"",VLOOKUP(C32,명단!$C$4:$F$90,2,FALSE),"")</x:f>
        <x:v>안준모</x:v>
      </x:c>
      <x:c r="G32" s="105">
        <x:f>IF(E32="","",E32-D32)</x:f>
        <x:v>3990</x:v>
      </x:c>
      <x:c r="H32" s="105">
        <x:f>IF(G32&lt;&gt;"",$H$15,"")</x:f>
        <x:v>2480</x:v>
      </x:c>
      <x:c r="I32" s="106">
        <x:f>IF(G32&lt;&gt;"",G32/H32,"")</x:f>
        <x:v>1.6088709677419355</x:v>
      </x:c>
      <x:c r="J32" s="153">
        <x:v>2</x:v>
      </x:c>
      <x:c r="K32" s="107" t="str">
        <x:f>IF(C32&lt;&gt;"","완료","")</x:f>
        <x:v>완료</x:v>
      </x:c>
      <x:c r="L32" s="101"/>
    </x:row>
    <x:row r="33" spans="2:12" ht="19.5" customHeight="1">
      <x:c r="B33" s="133">
        <x:f>B32+1</x:f>
        <x:v>27</x:v>
      </x:c>
      <x:c r="C33" s="101">
        <x:v>6524</x:v>
      </x:c>
      <x:c r="D33" s="103">
        <x:v>8635</x:v>
      </x:c>
      <x:c r="E33" s="103">
        <x:v>12900</x:v>
      </x:c>
      <x:c r="F33" s="104" t="str">
        <x:f>IF(C33&lt;&gt;"",VLOOKUP(C33,명단!$C$4:$F$90,2,FALSE),"")</x:f>
        <x:v>김호찬</x:v>
      </x:c>
      <x:c r="G33" s="105">
        <x:f>IF(E33="","",E33-D33)</x:f>
        <x:v>4265</x:v>
      </x:c>
      <x:c r="H33" s="105">
        <x:f>IF(G33&lt;&gt;"",$H$15,"")</x:f>
        <x:v>2480</x:v>
      </x:c>
      <x:c r="I33" s="106">
        <x:f>IF(G33&lt;&gt;"",G33/H33,"")</x:f>
        <x:v>1.719758064516129</x:v>
      </x:c>
      <x:c r="J33" s="140" t="s">
        <x:v>122</x:v>
      </x:c>
      <x:c r="K33" s="107" t="str">
        <x:f>IF(C33&lt;&gt;"","완료","")</x:f>
        <x:v>완료</x:v>
      </x:c>
      <x:c r="L33" s="101"/>
    </x:row>
    <x:row r="34" spans="2:12" ht="19.5" customHeight="1">
      <x:c r="B34" s="133">
        <x:f>B33+1</x:f>
        <x:v>28</x:v>
      </x:c>
      <x:c r="C34" s="101">
        <x:v>3758</x:v>
      </x:c>
      <x:c r="D34" s="103">
        <x:v>8220</x:v>
      </x:c>
      <x:c r="E34" s="103">
        <x:v>12620</x:v>
      </x:c>
      <x:c r="F34" s="104" t="str">
        <x:f>IF(C34&lt;&gt;"",VLOOKUP(C34,명단!$C$4:$F$90,2,FALSE),"")</x:f>
        <x:v>강대영</x:v>
      </x:c>
      <x:c r="G34" s="105">
        <x:f>IF(E34="","",E34-D34)</x:f>
        <x:v>4400</x:v>
      </x:c>
      <x:c r="H34" s="105">
        <x:f>IF(G34&lt;&gt;"",$H$15,"")</x:f>
        <x:v>2480</x:v>
      </x:c>
      <x:c r="I34" s="106">
        <x:f>IF(G34&lt;&gt;"",G34/H34,"")</x:f>
        <x:v>1.7741935483870968</x:v>
      </x:c>
      <x:c r="J34" s="153">
        <x:v>1</x:v>
      </x:c>
      <x:c r="K34" s="107" t="str">
        <x:f>IF(C34&lt;&gt;"","완료","")</x:f>
        <x:v>완료</x:v>
      </x:c>
      <x:c r="L34" s="101"/>
    </x:row>
    <x:row r="35" spans="1:18" s="11" customFormat="1" ht="19.5" customHeight="1">
      <x:c r="A35" s="9"/>
      <x:c r="B35" s="133">
        <x:f>B34+1</x:f>
        <x:v>29</x:v>
      </x:c>
      <x:c r="C35" s="101">
        <x:v>4271</x:v>
      </x:c>
      <x:c r="D35" s="103">
        <x:v>8595</x:v>
      </x:c>
      <x:c r="E35" s="103">
        <x:v>12970</x:v>
      </x:c>
      <x:c r="F35" s="104" t="str">
        <x:f>IF(C35&lt;&gt;"",VLOOKUP(C35,명단!$C$4:$F$90,2,FALSE),"")</x:f>
        <x:v>박영길</x:v>
      </x:c>
      <x:c r="G35" s="105">
        <x:f>IF(E35="","",E35-D35)</x:f>
        <x:v>4375</x:v>
      </x:c>
      <x:c r="H35" s="105">
        <x:f>IF(G35&lt;&gt;"",$H$15,"")</x:f>
        <x:v>2480</x:v>
      </x:c>
      <x:c r="I35" s="106">
        <x:f>IF(G35&lt;&gt;"",G35/H35,"")</x:f>
        <x:v>1.7641129032258065</x:v>
      </x:c>
      <x:c r="J35" s="153">
        <x:v>1</x:v>
      </x:c>
      <x:c r="K35" s="107" t="str">
        <x:f>IF(C35&lt;&gt;"","완료","")</x:f>
        <x:v>완료</x:v>
      </x:c>
      <x:c r="L35" s="101"/>
      <x:c r="R35" s="89"/>
    </x:row>
    <x:row r="36" spans="1:18" s="11" customFormat="1" ht="19.5" customHeight="1">
      <x:c r="A36" s="9"/>
      <x:c r="B36" s="133">
        <x:f>B35+1</x:f>
        <x:v>30</x:v>
      </x:c>
      <x:c r="C36" s="101">
        <x:v>5615</x:v>
      </x:c>
      <x:c r="D36" s="103">
        <x:v>8760</x:v>
      </x:c>
      <x:c r="E36" s="103">
        <x:v>13130</x:v>
      </x:c>
      <x:c r="F36" s="104" t="str">
        <x:f>IF(C36&lt;&gt;"",VLOOKUP(C36,명단!$C$4:$F$90,2,FALSE),"")</x:f>
        <x:v>소기복</x:v>
      </x:c>
      <x:c r="G36" s="105">
        <x:f>IF(E36="","",E36-D36)</x:f>
        <x:v>4370</x:v>
      </x:c>
      <x:c r="H36" s="105">
        <x:f>IF(G36&lt;&gt;"",$H$15,"")</x:f>
        <x:v>2480</x:v>
      </x:c>
      <x:c r="I36" s="106">
        <x:f>IF(G36&lt;&gt;"",G36/H36,"")</x:f>
        <x:v>1.7620967741935485</x:v>
      </x:c>
      <x:c r="J36" s="153">
        <x:v>1</x:v>
      </x:c>
      <x:c r="K36" s="107" t="str">
        <x:f>IF(C36&lt;&gt;"","완료","")</x:f>
        <x:v>완료</x:v>
      </x:c>
      <x:c r="L36" s="101"/>
      <x:c r="R36" s="89"/>
    </x:row>
    <x:row r="37" spans="2:12" ht="19.5" customHeight="1">
      <x:c r="B37" s="133" t="s">
        <x:v>15</x:v>
      </x:c>
      <x:c r="C37" s="133"/>
      <x:c r="D37" s="133"/>
      <x:c r="E37" s="133"/>
      <x:c r="F37" s="133"/>
      <x:c r="G37" s="135">
        <x:f>SUM(G7:G36)</x:f>
        <x:v>139495</x:v>
      </x:c>
      <x:c r="H37" s="135">
        <x:f>SUM(H7:H36)</x:f>
        <x:v>79000</x:v>
      </x:c>
      <x:c r="I37" s="136">
        <x:f>IF(H37&lt;&gt;0,G37/H37,0)</x:f>
        <x:v>1.765759493670886</x:v>
      </x:c>
      <x:c r="J37" s="134"/>
      <x:c r="K37" s="133"/>
      <x:c r="L37" s="133"/>
    </x:row>
    <x:row r="38" spans="7:9" ht="11.25" customHeight="1">
      <x:c r="G38" s="3"/>
      <x:c r="H38" s="16"/>
      <x:c r="I38" s="20"/>
    </x:row>
    <x:row r="39" spans="2:9" ht="19.5" customHeight="1">
      <x:c r="B39" s="101" t="s">
        <x:v>11</x:v>
      </x:c>
      <x:c r="C39" s="129">
        <x:v>5615</x:v>
      </x:c>
      <x:c r="D39" s="27"/>
      <x:c r="E39" s="27"/>
      <x:c r="F39" s="27"/>
      <x:c r="G39" s="138"/>
      <x:c r="H39" s="131"/>
      <x:c r="I39" s="139"/>
    </x:row>
    <x:row r="40" ht="19.5" customHeight="1"/>
    <x:row r="41" spans="1:18" s="11" customFormat="1" ht="19.5" customHeight="1">
      <x:c r="A41" s="9"/>
      <x:c r="J41" s="147"/>
      <x:c r="R41" s="89"/>
    </x:row>
    <x:row r="42" spans="1:18" s="11" customFormat="1" ht="19.5" customHeight="1">
      <x:c r="A42" s="9"/>
      <x:c r="G42" s="62"/>
      <x:c r="H42" s="62"/>
      <x:c r="I42" s="62"/>
      <x:c r="J42" s="147"/>
      <x:c r="R42" s="89"/>
    </x:row>
    <x:row r="43" spans="7:9" ht="19.5" customHeight="1">
      <x:c r="G43" s="62"/>
      <x:c r="H43" s="62"/>
      <x:c r="I43" s="62"/>
    </x:row>
    <x:row r="44" spans="7:9" ht="28.5" customHeight="1">
      <x:c r="G44" s="62"/>
      <x:c r="H44" s="62"/>
      <x:c r="I44" s="62"/>
    </x:row>
    <x:row r="45" spans="7:9" ht="28.5" customHeight="1">
      <x:c r="G45" s="62"/>
      <x:c r="H45" s="62"/>
      <x:c r="I45" s="62"/>
    </x:row>
    <x:row r="46" spans="7:9" ht="28.5" customHeight="1">
      <x:c r="G46" s="62"/>
      <x:c r="H46" s="62"/>
      <x:c r="I46" s="62"/>
    </x:row>
    <x:row r="47" spans="7:9" ht="28.5" customHeight="1">
      <x:c r="G47" s="62"/>
      <x:c r="H47" s="62"/>
      <x:c r="I47" s="62"/>
    </x:row>
    <x:row r="48" spans="7:9" ht="22.5" customHeight="1">
      <x:c r="G48" s="62"/>
      <x:c r="H48" s="62"/>
      <x:c r="I48" s="62"/>
    </x:row>
    <x:row r="49" spans="7:9">
      <x:c r="G49" s="62"/>
      <x:c r="H49" s="62"/>
      <x:c r="I49" s="62"/>
    </x:row>
    <x:row r="50" spans="7:9">
      <x:c r="G50" s="62"/>
      <x:c r="H50" s="62"/>
      <x:c r="I50" s="62"/>
    </x:row>
    <x:row r="51" spans="7:9">
      <x:c r="G51" s="62"/>
      <x:c r="H51" s="62"/>
      <x:c r="I51" s="62"/>
    </x:row>
  </x:sheetData>
  <x:sortState columnSort="0" caseSensitive="0" ref="C31:I32">
    <x:sortCondition descending="0" sortBy="value" ref="I31:I32"/>
  </x:sortState>
  <x:mergeCells count="16">
    <x:mergeCell ref="B2:L2"/>
    <x:mergeCell ref="B4:C4"/>
    <x:mergeCell ref="N7:Q8"/>
    <x:mergeCell ref="N9:Q9"/>
    <x:mergeCell ref="O10:Q10"/>
    <x:mergeCell ref="O12:Q12"/>
    <x:mergeCell ref="O13:Q13"/>
    <x:mergeCell ref="O14:P14"/>
    <x:mergeCell ref="O15:P15"/>
    <x:mergeCell ref="O16:P16"/>
    <x:mergeCell ref="O17:P17"/>
    <x:mergeCell ref="O18:P18"/>
    <x:mergeCell ref="N20:Q20"/>
    <x:mergeCell ref="N22:Q22"/>
    <x:mergeCell ref="N24:Q24"/>
    <x:mergeCell ref="N26:Q26"/>
  </x:mergeCells>
  <x:printOptions horizontalCentered="1" verticalCentered="1" headings="0" gridLines="0" gridLinesSet="1"/>
  <x:pageMargins left="0.78694444894790649" right="0.78694444894790649" top="0.39375001192092896" bottom="0.39375001192092896" header="0.39375001192092896" footer="0.39375001192092896"/>
  <x:pageSetup paperSize="9" scale="100" firstPageNumber="1" fitToWidth="1" fitToHeight="1" orientation="portrait" usePrinterDefaults="1" blackAndWhite="0" draft="0" useFirstPageNumber="0" horizontalDpi="300" verticalDpi="300" copies="1"/>
  <x: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15"/>
  <x:dimension ref="A1:R51"/>
  <x:sheetViews>
    <x:sheetView topLeftCell="A1" zoomScale="80" zoomScaleNormal="80" zoomScaleSheetLayoutView="75" workbookViewId="0">
      <x:selection activeCell="G40" activeCellId="0" sqref="G40:G40"/>
    </x:sheetView>
  </x:sheetViews>
  <x:sheetFormatPr defaultColWidth="9.00390625" defaultRowHeight="23.5"/>
  <x:cols>
    <x:col min="1" max="1" width="1.875" style="9" customWidth="1"/>
    <x:col min="2" max="2" width="5.4296875" style="9" bestFit="1" customWidth="1"/>
    <x:col min="3" max="3" width="6.6953125" style="9" bestFit="1" customWidth="1"/>
    <x:col min="4" max="5" width="9.05859375" style="9" bestFit="1" customWidth="1"/>
    <x:col min="6" max="6" width="7.640625" style="9" bestFit="1" customWidth="1"/>
    <x:col min="7" max="7" width="9.8515625" style="9" bestFit="1" customWidth="1"/>
    <x:col min="8" max="8" width="10.32421875" style="9" bestFit="1" customWidth="1"/>
    <x:col min="9" max="9" width="7.8046875" style="9" bestFit="1" customWidth="1"/>
    <x:col min="10" max="10" width="5.4296875" style="148" bestFit="1" customWidth="1"/>
    <x:col min="11" max="12" width="5.4296875" style="9" bestFit="1" customWidth="1"/>
    <x:col min="13" max="13" width="1.875" style="11" customWidth="1"/>
    <x:col min="14" max="14" width="9.8515625" style="11" bestFit="1" customWidth="1"/>
    <x:col min="15" max="15" width="6.0625" style="11" bestFit="1" customWidth="1"/>
    <x:col min="16" max="16" width="7.640625" style="11" bestFit="1" customWidth="1"/>
    <x:col min="17" max="17" width="10.375" style="11" customWidth="1"/>
    <x:col min="18" max="18" width="1.875" style="89" customWidth="1"/>
    <x:col min="19" max="21" width="9" style="11"/>
    <x:col min="22" max="22" width="3.125" style="11" customWidth="1"/>
    <x:col min="23" max="16294" width="9" style="11"/>
    <x:col min="16295" max="16384" width="9.00390625" style="11"/>
  </x:cols>
  <x:sheetData>
    <x:row r="1" spans="2:12" ht="11.25" customHeight="1">
      <x:c r="B1" s="90"/>
      <x:c r="C1" s="90"/>
      <x:c r="D1" s="90"/>
      <x:c r="E1" s="90"/>
      <x:c r="F1" s="90"/>
      <x:c r="G1" s="90"/>
      <x:c r="H1" s="90"/>
      <x:c r="I1" s="90"/>
      <x:c r="J1" s="132"/>
      <x:c r="K1" s="90"/>
      <x:c r="L1" s="90"/>
    </x:row>
    <x:row r="2" spans="2:12" ht="19.5" customHeight="1">
      <x:c r="B2" s="221" t="str">
        <x:f>'1'!B2</x:f>
        <x:v>체리부로 26회차  출하 집계표</x:v>
      </x:c>
      <x:c r="C2" s="221"/>
      <x:c r="D2" s="221"/>
      <x:c r="E2" s="221"/>
      <x:c r="F2" s="221"/>
      <x:c r="G2" s="221"/>
      <x:c r="H2" s="221"/>
      <x:c r="I2" s="221"/>
      <x:c r="J2" s="221"/>
      <x:c r="K2" s="221"/>
      <x:c r="L2" s="221" t="s">
        <x:v>197</x:v>
      </x:c>
    </x:row>
    <x:row r="3" spans="2:12" ht="11.25" customHeight="1">
      <x:c r="B3" s="92"/>
      <x:c r="C3" s="92"/>
      <x:c r="D3" s="92"/>
      <x:c r="E3" s="92"/>
      <x:c r="F3" s="92"/>
      <x:c r="G3" s="92"/>
      <x:c r="H3" s="92"/>
      <x:c r="I3" s="92"/>
      <x:c r="J3" s="146"/>
      <x:c r="K3" s="92"/>
      <x:c r="L3" s="92"/>
    </x:row>
    <x:row r="4" spans="2:12" ht="19.5" customHeight="1">
      <x:c r="B4" s="222">
        <x:v>46044</x:v>
      </x:c>
      <x:c r="C4" s="222"/>
      <x:c r="D4" s="94"/>
      <x:c r="E4" s="94"/>
      <x:c r="F4" s="137">
        <x:v>30</x:v>
      </x:c>
      <x:c r="G4" s="96" t="s">
        <x:v>103</x:v>
      </x:c>
      <x:c r="H4" s="97">
        <x:v>1.75</x:v>
      </x:c>
      <x:c r="I4" s="98" t="s">
        <x:v>108</x:v>
      </x:c>
      <x:c r="J4" s="146"/>
      <x:c r="K4" s="92"/>
      <x:c r="L4" s="92"/>
    </x:row>
    <x:row r="5" spans="2:12" ht="11.25" customHeight="1">
      <x:c r="B5" s="99"/>
      <x:c r="C5" s="92"/>
      <x:c r="D5" s="92"/>
      <x:c r="E5" s="92"/>
      <x:c r="F5" s="92"/>
      <x:c r="G5" s="92"/>
      <x:c r="H5" s="92"/>
      <x:c r="I5" s="99"/>
      <x:c r="J5" s="132"/>
      <x:c r="K5" s="92"/>
      <x:c r="L5" s="92"/>
    </x:row>
    <x:row r="6" spans="2:18" ht="21" customHeight="1">
      <x:c r="B6" s="133" t="s">
        <x:v>105</x:v>
      </x:c>
      <x:c r="C6" s="133" t="s">
        <x:v>50</x:v>
      </x:c>
      <x:c r="D6" s="133" t="s">
        <x:v>4</x:v>
      </x:c>
      <x:c r="E6" s="133" t="s">
        <x:v>58</x:v>
      </x:c>
      <x:c r="F6" s="133" t="s">
        <x:v>14</x:v>
      </x:c>
      <x:c r="G6" s="133" t="s">
        <x:v>7</x:v>
      </x:c>
      <x:c r="H6" s="133" t="s">
        <x:v>75</x:v>
      </x:c>
      <x:c r="I6" s="133" t="s">
        <x:v>104</x:v>
      </x:c>
      <x:c r="J6" s="134" t="s">
        <x:v>5</x:v>
      </x:c>
      <x:c r="K6" s="133" t="s">
        <x:v>102</x:v>
      </x:c>
      <x:c r="L6" s="133" t="s">
        <x:v>21</x:v>
      </x:c>
      <x:c r="N6" s="3"/>
      <x:c r="O6" s="3"/>
      <x:c r="P6" s="3"/>
      <x:c r="Q6" s="3"/>
      <x:c r="R6" s="100"/>
    </x:row>
    <x:row r="7" spans="2:18" ht="19.5" customHeight="1">
      <x:c r="B7" s="133">
        <x:v>31</x:v>
      </x:c>
      <x:c r="C7" s="101">
        <x:v>5815</x:v>
      </x:c>
      <x:c r="D7" s="102">
        <x:v>8590</x:v>
      </x:c>
      <x:c r="E7" s="103">
        <x:v>12735</x:v>
      </x:c>
      <x:c r="F7" s="104" t="str">
        <x:f>IF(C7&lt;&gt;"",VLOOKUP(C7,명단!$C$4:$F$90,2,FALSE),"")</x:f>
        <x:v>김창수</x:v>
      </x:c>
      <x:c r="G7" s="105">
        <x:f>IF(E7="","",E7-D7)</x:f>
        <x:v>4145</x:v>
      </x:c>
      <x:c r="H7" s="105">
        <x:v>2480</x:v>
      </x:c>
      <x:c r="I7" s="106">
        <x:f>IF(G7&lt;&gt;"",G7/H7,"")</x:f>
        <x:v>1.6713709677419355</x:v>
      </x:c>
      <x:c r="J7" s="153">
        <x:v>1</x:v>
      </x:c>
      <x:c r="K7" s="107" t="str">
        <x:f>IF(C7&lt;&gt;"","완료","")</x:f>
        <x:v>완료</x:v>
      </x:c>
      <x:c r="L7" s="101"/>
      <x:c r="N7" s="223" t="s">
        <x:v>148</x:v>
      </x:c>
      <x:c r="O7" s="224"/>
      <x:c r="P7" s="224"/>
      <x:c r="Q7" s="225"/>
      <x:c r="R7" s="108"/>
    </x:row>
    <x:row r="8" spans="2:18" ht="19.5" customHeight="1">
      <x:c r="B8" s="133">
        <x:f>B7+1</x:f>
        <x:v>32</x:v>
      </x:c>
      <x:c r="C8" s="101">
        <x:v>8809</x:v>
      </x:c>
      <x:c r="D8" s="103">
        <x:v>8690</x:v>
      </x:c>
      <x:c r="E8" s="103">
        <x:v>12990</x:v>
      </x:c>
      <x:c r="F8" s="104" t="str">
        <x:f>IF(C8&lt;&gt;"",VLOOKUP(C8,명단!$C$4:$F$90,2,FALSE),"")</x:f>
        <x:v>양승달</x:v>
      </x:c>
      <x:c r="G8" s="105">
        <x:f>IF(E8="","",E8-D8)</x:f>
        <x:v>4300</x:v>
      </x:c>
      <x:c r="H8" s="105">
        <x:f>IF(G8&lt;&gt;"",$H$7,"")</x:f>
        <x:v>2480</x:v>
      </x:c>
      <x:c r="I8" s="106">
        <x:f>IF(G8&lt;&gt;"",G8/H8,"")</x:f>
        <x:v>1.7338709677419355</x:v>
      </x:c>
      <x:c r="J8" s="153">
        <x:v>1</x:v>
      </x:c>
      <x:c r="K8" s="107" t="str">
        <x:f>IF(C8&lt;&gt;"","완료","")</x:f>
        <x:v>완료</x:v>
      </x:c>
      <x:c r="L8" s="101"/>
      <x:c r="N8" s="226"/>
      <x:c r="O8" s="227"/>
      <x:c r="P8" s="227"/>
      <x:c r="Q8" s="228"/>
      <x:c r="R8" s="108"/>
    </x:row>
    <x:row r="9" spans="2:18" ht="19.5" customHeight="1">
      <x:c r="B9" s="133">
        <x:f>B8+1</x:f>
        <x:v>33</x:v>
      </x:c>
      <x:c r="C9" s="101">
        <x:v>1267</x:v>
      </x:c>
      <x:c r="D9" s="103">
        <x:v>8635</x:v>
      </x:c>
      <x:c r="E9" s="103">
        <x:v>12945</x:v>
      </x:c>
      <x:c r="F9" s="104" t="str">
        <x:f>IF(C9&lt;&gt;"",VLOOKUP(C9,명단!$C$4:$F$90,2,FALSE),"")</x:f>
        <x:v>김용규</x:v>
      </x:c>
      <x:c r="G9" s="105">
        <x:f>IF(E9="","",E9-D9)</x:f>
        <x:v>4310</x:v>
      </x:c>
      <x:c r="H9" s="105">
        <x:f>IF(G9&lt;&gt;"",$H$7,"")</x:f>
        <x:v>2480</x:v>
      </x:c>
      <x:c r="I9" s="106">
        <x:f>IF(G9&lt;&gt;"",G9/H9,"")</x:f>
        <x:v>1.7379032258064515</x:v>
      </x:c>
      <x:c r="J9" s="153">
        <x:v>1</x:v>
      </x:c>
      <x:c r="K9" s="107" t="str">
        <x:f>IF(C9&lt;&gt;"","완료","")</x:f>
        <x:v>완료</x:v>
      </x:c>
      <x:c r="L9" s="101"/>
      <x:c r="N9" s="229" t="s">
        <x:v>172</x:v>
      </x:c>
      <x:c r="O9" s="230"/>
      <x:c r="P9" s="230"/>
      <x:c r="Q9" s="231"/>
      <x:c r="R9" s="100"/>
    </x:row>
    <x:row r="10" spans="2:18" ht="19.5" customHeight="1">
      <x:c r="B10" s="133">
        <x:f>B9+1</x:f>
        <x:v>34</x:v>
      </x:c>
      <x:c r="C10" s="101">
        <x:v>2565</x:v>
      </x:c>
      <x:c r="D10" s="103">
        <x:v>8720</x:v>
      </x:c>
      <x:c r="E10" s="103">
        <x:v>12965</x:v>
      </x:c>
      <x:c r="F10" s="104" t="str">
        <x:f>IF(C10&lt;&gt;"",VLOOKUP(C10,명단!$C$4:$F$90,2,FALSE),"")</x:f>
        <x:v>심재응</x:v>
      </x:c>
      <x:c r="G10" s="105">
        <x:f>IF(E10="","",E10-D10)</x:f>
        <x:v>4245</x:v>
      </x:c>
      <x:c r="H10" s="105">
        <x:f>IF(G10&lt;&gt;"",$H$7,"")</x:f>
        <x:v>2480</x:v>
      </x:c>
      <x:c r="I10" s="106">
        <x:f>IF(G10&lt;&gt;"",G10/H10,"")</x:f>
        <x:v>1.7116935483870968</x:v>
      </x:c>
      <x:c r="J10" s="153">
        <x:v>1</x:v>
      </x:c>
      <x:c r="K10" s="107" t="str">
        <x:f>IF(C10&lt;&gt;"","완료","")</x:f>
        <x:v>완료</x:v>
      </x:c>
      <x:c r="L10" s="101"/>
      <x:c r="N10" s="101" t="s">
        <x:v>143</x:v>
      </x:c>
      <x:c r="O10" s="232">
        <x:f ca="1">NOW()</x:f>
        <x:v>46088.592185856483</x:v>
      </x:c>
      <x:c r="P10" s="233"/>
      <x:c r="Q10" s="234"/>
      <x:c r="R10" s="109"/>
    </x:row>
    <x:row r="11" spans="2:18" ht="19.5" customHeight="1">
      <x:c r="B11" s="133">
        <x:f>B10+1</x:f>
        <x:v>35</x:v>
      </x:c>
      <x:c r="C11" s="101">
        <x:v>5704</x:v>
      </x:c>
      <x:c r="D11" s="103">
        <x:v>8730</x:v>
      </x:c>
      <x:c r="E11" s="103">
        <x:v>12800</x:v>
      </x:c>
      <x:c r="F11" s="104" t="str">
        <x:f>IF(C11&lt;&gt;"",VLOOKUP(C11,명단!$C$4:$F$90,2,FALSE),"")</x:f>
        <x:v>정윤영</x:v>
      </x:c>
      <x:c r="G11" s="105">
        <x:f>IF(E11="","",E11-D11)</x:f>
        <x:v>4070</x:v>
      </x:c>
      <x:c r="H11" s="105">
        <x:f>IF(G11&lt;&gt;"",$H$7,"")</x:f>
        <x:v>2480</x:v>
      </x:c>
      <x:c r="I11" s="106">
        <x:f>IF(G11&lt;&gt;"",G11/H11,"")</x:f>
        <x:v>1.6411290322580645</x:v>
      </x:c>
      <x:c r="J11" s="153">
        <x:v>1</x:v>
      </x:c>
      <x:c r="K11" s="107" t="str">
        <x:f>IF(C11&lt;&gt;"","완료","")</x:f>
        <x:v>완료</x:v>
      </x:c>
      <x:c r="L11" s="101"/>
      <x:c r="N11" s="101" t="s">
        <x:v>50</x:v>
      </x:c>
      <x:c r="O11" s="107">
        <x:f>C39</x:f>
        <x:v>3403</x:v>
      </x:c>
      <x:c r="P11" s="107" t="s">
        <x:v>73</x:v>
      </x:c>
      <x:c r="Q11" s="107" t="str">
        <x:f>VLOOKUP(O11,C7:I36,4,0)</x:f>
        <x:v>신공식</x:v>
      </x:c>
      <x:c r="R11" s="110"/>
    </x:row>
    <x:row r="12" spans="2:18" ht="19.5" customHeight="1">
      <x:c r="B12" s="133">
        <x:f>B11+1</x:f>
        <x:v>36</x:v>
      </x:c>
      <x:c r="C12" s="101">
        <x:v>5503</x:v>
      </x:c>
      <x:c r="D12" s="103">
        <x:v>8690</x:v>
      </x:c>
      <x:c r="E12" s="103">
        <x:v>12865</x:v>
      </x:c>
      <x:c r="F12" s="104" t="str">
        <x:f>IF(C12&lt;&gt;"",VLOOKUP(C12,명단!$C$4:$F$90,2,FALSE),"")</x:f>
        <x:v>채문병</x:v>
      </x:c>
      <x:c r="G12" s="105">
        <x:f>IF(E12="","",E12-D12)</x:f>
        <x:v>4175</x:v>
      </x:c>
      <x:c r="H12" s="105">
        <x:f>IF(G12&lt;&gt;"",$H$7,"")</x:f>
        <x:v>2480</x:v>
      </x:c>
      <x:c r="I12" s="106">
        <x:f>IF(G12&lt;&gt;"",G12/H12,"")</x:f>
        <x:v>1.6834677419354838</x:v>
      </x:c>
      <x:c r="J12" s="153">
        <x:v>1</x:v>
      </x:c>
      <x:c r="K12" s="107" t="str">
        <x:f>IF(C12&lt;&gt;"","완료","")</x:f>
        <x:v>완료</x:v>
      </x:c>
      <x:c r="L12" s="101"/>
      <x:c r="N12" s="101" t="s">
        <x:v>182</x:v>
      </x:c>
      <x:c r="O12" s="235" t="s">
        <x:v>180</x:v>
      </x:c>
      <x:c r="P12" s="235"/>
      <x:c r="Q12" s="235"/>
      <x:c r="R12" s="109"/>
    </x:row>
    <x:row r="13" spans="2:18" ht="19.5" customHeight="1">
      <x:c r="B13" s="133">
        <x:f>B12+1</x:f>
        <x:v>37</x:v>
      </x:c>
      <x:c r="C13" s="101">
        <x:v>5957</x:v>
      </x:c>
      <x:c r="D13" s="103">
        <x:v>8760</x:v>
      </x:c>
      <x:c r="E13" s="103">
        <x:v>12965</x:v>
      </x:c>
      <x:c r="F13" s="104" t="str">
        <x:f>IF(C13&lt;&gt;"",VLOOKUP(C13,명단!$C$4:$F$90,2,FALSE),"")</x:f>
        <x:v>박현수</x:v>
      </x:c>
      <x:c r="G13" s="105">
        <x:f>IF(E13="","",E13-D13)</x:f>
        <x:v>4205</x:v>
      </x:c>
      <x:c r="H13" s="105">
        <x:f>IF(G13&lt;&gt;"",$H$7,"")</x:f>
        <x:v>2480</x:v>
      </x:c>
      <x:c r="I13" s="106">
        <x:f>IF(G13&lt;&gt;"",G13/H13,"")</x:f>
        <x:v>1.6955645161290323</x:v>
      </x:c>
      <x:c r="J13" s="153">
        <x:v>1</x:v>
      </x:c>
      <x:c r="K13" s="107" t="str">
        <x:f>IF(C13&lt;&gt;"","완료","")</x:f>
        <x:v>완료</x:v>
      </x:c>
      <x:c r="L13" s="101"/>
      <x:c r="N13" s="101" t="s">
        <x:v>93</x:v>
      </x:c>
      <x:c r="O13" s="235" t="s">
        <x:v>82</x:v>
      </x:c>
      <x:c r="P13" s="235"/>
      <x:c r="Q13" s="235"/>
      <x:c r="R13" s="109"/>
    </x:row>
    <x:row r="14" spans="1:18" s="11" customFormat="1" ht="19.5" customHeight="1">
      <x:c r="A14" s="9"/>
      <x:c r="B14" s="133">
        <x:f>B13+1</x:f>
        <x:v>38</x:v>
      </x:c>
      <x:c r="C14" s="101">
        <x:v>5911</x:v>
      </x:c>
      <x:c r="D14" s="103">
        <x:v>8585</x:v>
      </x:c>
      <x:c r="E14" s="103">
        <x:v>12960</x:v>
      </x:c>
      <x:c r="F14" s="104" t="str">
        <x:f>IF(C14&lt;&gt;"",VLOOKUP(C14,명단!$C$4:$F$90,2,FALSE),"")</x:f>
        <x:v>손길수</x:v>
      </x:c>
      <x:c r="G14" s="105">
        <x:f>IF(E14="","",E14-D14)</x:f>
        <x:v>4375</x:v>
      </x:c>
      <x:c r="H14" s="105">
        <x:f>IF(G14&lt;&gt;"",$H$7,"")</x:f>
        <x:v>2480</x:v>
      </x:c>
      <x:c r="I14" s="106">
        <x:f>IF(G14&lt;&gt;"",G14/H14,"")</x:f>
        <x:v>1.7641129032258065</x:v>
      </x:c>
      <x:c r="J14" s="153">
        <x:v>4</x:v>
      </x:c>
      <x:c r="K14" s="107" t="str">
        <x:f>IF(C14&lt;&gt;"","완료","")</x:f>
        <x:v>완료</x:v>
      </x:c>
      <x:c r="L14" s="101"/>
      <x:c r="N14" s="101" t="s">
        <x:v>168</x:v>
      </x:c>
      <x:c r="O14" s="236">
        <x:f>VLOOKUP(O11,C7:I36,2,0)</x:f>
        <x:v>8435</x:v>
      </x:c>
      <x:c r="P14" s="237"/>
      <x:c r="Q14" s="111" t="s">
        <x:v>108</x:v>
      </x:c>
      <x:c r="R14" s="109"/>
    </x:row>
    <x:row r="15" spans="1:18" s="11" customFormat="1" ht="19.5" customHeight="1">
      <x:c r="A15" s="9"/>
      <x:c r="B15" s="133">
        <x:f>B14+1</x:f>
        <x:v>39</x:v>
      </x:c>
      <x:c r="C15" s="101">
        <x:v>6456</x:v>
      </x:c>
      <x:c r="D15" s="103">
        <x:v>8595</x:v>
      </x:c>
      <x:c r="E15" s="103">
        <x:v>12840</x:v>
      </x:c>
      <x:c r="F15" s="104" t="str">
        <x:f>IF(C15&lt;&gt;"",VLOOKUP(C15,명단!$C$4:$F$90,2,FALSE),"")</x:f>
        <x:v>임재경</x:v>
      </x:c>
      <x:c r="G15" s="105">
        <x:f>IF(E15="","",E15-D15)</x:f>
        <x:v>4245</x:v>
      </x:c>
      <x:c r="H15" s="105">
        <x:f>IF(G15&lt;&gt;"",$H$7,"")</x:f>
        <x:v>2480</x:v>
      </x:c>
      <x:c r="I15" s="106">
        <x:f>IF(G15&lt;&gt;"",G15/H15,"")</x:f>
        <x:v>1.7116935483870968</x:v>
      </x:c>
      <x:c r="J15" s="153">
        <x:v>4</x:v>
      </x:c>
      <x:c r="K15" s="107" t="str">
        <x:f>IF(C15&lt;&gt;"","완료","")</x:f>
        <x:v>완료</x:v>
      </x:c>
      <x:c r="L15" s="101"/>
      <x:c r="N15" s="101" t="s">
        <x:v>149</x:v>
      </x:c>
      <x:c r="O15" s="236">
        <x:f>VLOOKUP(O11,C7:I36,3,0)</x:f>
        <x:v>11695</x:v>
      </x:c>
      <x:c r="P15" s="237"/>
      <x:c r="Q15" s="112" t="s">
        <x:v>108</x:v>
      </x:c>
      <x:c r="R15" s="109"/>
    </x:row>
    <x:row r="16" spans="1:18" s="11" customFormat="1" ht="19.5" customHeight="1">
      <x:c r="A16" s="9"/>
      <x:c r="B16" s="133">
        <x:f>B15+1</x:f>
        <x:v>40</x:v>
      </x:c>
      <x:c r="C16" s="101">
        <x:v>2504</x:v>
      </x:c>
      <x:c r="D16" s="103">
        <x:v>8550</x:v>
      </x:c>
      <x:c r="E16" s="103">
        <x:v>12835</x:v>
      </x:c>
      <x:c r="F16" s="104" t="str">
        <x:f>IF(C16&lt;&gt;"",VLOOKUP(C16,명단!$C$4:$F$90,2,FALSE),"")</x:f>
        <x:v>김법규</x:v>
      </x:c>
      <x:c r="G16" s="105">
        <x:f>IF(E16="","",E16-D16)</x:f>
        <x:v>4285</x:v>
      </x:c>
      <x:c r="H16" s="105">
        <x:f>IF(G16&lt;&gt;"",$H$7,"")</x:f>
        <x:v>2480</x:v>
      </x:c>
      <x:c r="I16" s="106">
        <x:f>IF(G16&lt;&gt;"",G16/H16,"")</x:f>
        <x:v>1.7278225806451613</x:v>
      </x:c>
      <x:c r="J16" s="153">
        <x:v>4</x:v>
      </x:c>
      <x:c r="K16" s="107" t="str">
        <x:f>IF(C16&lt;&gt;"","완료","")</x:f>
        <x:v>완료</x:v>
      </x:c>
      <x:c r="L16" s="101"/>
      <x:c r="N16" s="101" t="s">
        <x:v>145</x:v>
      </x:c>
      <x:c r="O16" s="236">
        <x:f>VLOOKUP(O11,C7:I36,5,0)</x:f>
        <x:v>3260</x:v>
      </x:c>
      <x:c r="P16" s="237"/>
      <x:c r="Q16" s="112" t="s">
        <x:v>108</x:v>
      </x:c>
      <x:c r="R16" s="109"/>
    </x:row>
    <x:row r="17" spans="1:18" s="11" customFormat="1" ht="19.5" customHeight="1">
      <x:c r="A17" s="9"/>
      <x:c r="B17" s="133">
        <x:f>B16+1</x:f>
        <x:v>41</x:v>
      </x:c>
      <x:c r="C17" s="101">
        <x:v>8712</x:v>
      </x:c>
      <x:c r="D17" s="103">
        <x:v>8330</x:v>
      </x:c>
      <x:c r="E17" s="103">
        <x:v>12595</x:v>
      </x:c>
      <x:c r="F17" s="104" t="str">
        <x:f>IF(C17&lt;&gt;"",VLOOKUP(C17,명단!$C$4:$F$90,2,FALSE),"")</x:f>
        <x:v>임종웅</x:v>
      </x:c>
      <x:c r="G17" s="105">
        <x:f>IF(E17="","",E17-D17)</x:f>
        <x:v>4265</x:v>
      </x:c>
      <x:c r="H17" s="105">
        <x:f>IF(G17&lt;&gt;"",$H$7,"")</x:f>
        <x:v>2480</x:v>
      </x:c>
      <x:c r="I17" s="106">
        <x:f>IF(G17&lt;&gt;"",G17/H17,"")</x:f>
        <x:v>1.719758064516129</x:v>
      </x:c>
      <x:c r="J17" s="153">
        <x:v>4</x:v>
      </x:c>
      <x:c r="K17" s="107" t="str">
        <x:f>IF(C17&lt;&gt;"","완료","")</x:f>
        <x:v>완료</x:v>
      </x:c>
      <x:c r="L17" s="101"/>
      <x:c r="N17" s="101" t="s">
        <x:v>104</x:v>
      </x:c>
      <x:c r="O17" s="238">
        <x:f>VLOOKUP(O11,C7:I36,7,0)</x:f>
        <x:v>1.6632653061224489</x:v>
      </x:c>
      <x:c r="P17" s="239"/>
      <x:c r="Q17" s="113" t="s">
        <x:v>108</x:v>
      </x:c>
      <x:c r="R17" s="109"/>
    </x:row>
    <x:row r="18" spans="1:18" s="11" customFormat="1" ht="19.5" customHeight="1">
      <x:c r="A18" s="9"/>
      <x:c r="B18" s="133">
        <x:f>B17+1</x:f>
        <x:v>42</x:v>
      </x:c>
      <x:c r="C18" s="101">
        <x:v>5879</x:v>
      </x:c>
      <x:c r="D18" s="103">
        <x:v>8325</x:v>
      </x:c>
      <x:c r="E18" s="103">
        <x:v>12580</x:v>
      </x:c>
      <x:c r="F18" s="104" t="str">
        <x:f>IF(C18&lt;&gt;"",VLOOKUP(C18,명단!$C$4:$F$90,2,FALSE),"")</x:f>
        <x:v>김기욱</x:v>
      </x:c>
      <x:c r="G18" s="105">
        <x:f>IF(E18="","",E18-D18)</x:f>
        <x:v>4255</x:v>
      </x:c>
      <x:c r="H18" s="105">
        <x:f>IF(G18&lt;&gt;"",$H$7,"")</x:f>
        <x:v>2480</x:v>
      </x:c>
      <x:c r="I18" s="106">
        <x:f>IF(G18&lt;&gt;"",G18/H18,"")</x:f>
        <x:v>1.715725806451613</x:v>
      </x:c>
      <x:c r="J18" s="153">
        <x:v>4</x:v>
      </x:c>
      <x:c r="K18" s="107" t="str">
        <x:f>IF(C18&lt;&gt;"","완료","")</x:f>
        <x:v>완료</x:v>
      </x:c>
      <x:c r="L18" s="101"/>
      <x:c r="N18" s="114" t="s">
        <x:v>75</x:v>
      </x:c>
      <x:c r="O18" s="236">
        <x:f>VLOOKUP(O11,C7:I36,6,0)</x:f>
        <x:v>1960</x:v>
      </x:c>
      <x:c r="P18" s="237"/>
      <x:c r="Q18" s="112" t="s">
        <x:v>59</x:v>
      </x:c>
      <x:c r="R18" s="109"/>
    </x:row>
    <x:row r="19" spans="1:18" s="11" customFormat="1" ht="19.5" customHeight="1">
      <x:c r="A19" s="9"/>
      <x:c r="B19" s="133">
        <x:f>B18+1</x:f>
        <x:v>43</x:v>
      </x:c>
      <x:c r="C19" s="101">
        <x:v>4451</x:v>
      </x:c>
      <x:c r="D19" s="103">
        <x:v>8465</x:v>
      </x:c>
      <x:c r="E19" s="103">
        <x:v>12755</x:v>
      </x:c>
      <x:c r="F19" s="104" t="str">
        <x:f>IF(C19&lt;&gt;"",VLOOKUP(C19,명단!$C$4:$F$90,2,FALSE),"")</x:f>
        <x:v>차동준</x:v>
      </x:c>
      <x:c r="G19" s="105">
        <x:f>IF(E19="","",E19-D19)</x:f>
        <x:v>4290</x:v>
      </x:c>
      <x:c r="H19" s="105">
        <x:f>IF(G19&lt;&gt;"",$H$7,"")</x:f>
        <x:v>2480</x:v>
      </x:c>
      <x:c r="I19" s="106">
        <x:f>IF(G19&lt;&gt;"",G19/H19,"")</x:f>
        <x:v>1.7298387096774193</x:v>
      </x:c>
      <x:c r="J19" s="153">
        <x:v>4</x:v>
      </x:c>
      <x:c r="K19" s="107" t="str">
        <x:f>IF(C19&lt;&gt;"","완료","")</x:f>
        <x:v>완료</x:v>
      </x:c>
      <x:c r="L19" s="101"/>
      <x:c r="N19" s="115"/>
      <x:c r="O19" s="116"/>
      <x:c r="P19" s="116"/>
      <x:c r="Q19" s="117"/>
      <x:c r="R19" s="100"/>
    </x:row>
    <x:row r="20" spans="1:18" s="11" customFormat="1" ht="19.5" customHeight="1">
      <x:c r="A20" s="9"/>
      <x:c r="B20" s="133">
        <x:f>B19+1</x:f>
        <x:v>44</x:v>
      </x:c>
      <x:c r="C20" s="101">
        <x:v>5880</x:v>
      </x:c>
      <x:c r="D20" s="103">
        <x:v>8825</x:v>
      </x:c>
      <x:c r="E20" s="103">
        <x:v>13115</x:v>
      </x:c>
      <x:c r="F20" s="104" t="str">
        <x:f>IF(C20&lt;&gt;"",VLOOKUP(C20,명단!$C$4:$F$90,2,FALSE),"")</x:f>
        <x:v>최장열</x:v>
      </x:c>
      <x:c r="G20" s="105">
        <x:f>IF(E20="","",E20-D20)</x:f>
        <x:v>4290</x:v>
      </x:c>
      <x:c r="H20" s="105">
        <x:f>IF(G20&lt;&gt;"",$H$7,"")</x:f>
        <x:v>2480</x:v>
      </x:c>
      <x:c r="I20" s="106">
        <x:f>IF(G20&lt;&gt;"",G20/H20,"")</x:f>
        <x:v>1.7298387096774193</x:v>
      </x:c>
      <x:c r="J20" s="153">
        <x:v>4</x:v>
      </x:c>
      <x:c r="K20" s="107" t="str">
        <x:f>IF(C20&lt;&gt;"","완료","")</x:f>
        <x:v>완료</x:v>
      </x:c>
      <x:c r="L20" s="101"/>
      <x:c r="N20" s="240" t="s">
        <x:v>198</x:v>
      </x:c>
      <x:c r="O20" s="241"/>
      <x:c r="P20" s="241"/>
      <x:c r="Q20" s="242"/>
      <x:c r="R20" s="118"/>
    </x:row>
    <x:row r="21" spans="1:18" s="11" customFormat="1" ht="19.5" customHeight="1">
      <x:c r="A21" s="9"/>
      <x:c r="B21" s="133">
        <x:f>B20+1</x:f>
        <x:v>45</x:v>
      </x:c>
      <x:c r="C21" s="101">
        <x:v>1027</x:v>
      </x:c>
      <x:c r="D21" s="103">
        <x:v>8230</x:v>
      </x:c>
      <x:c r="E21" s="103">
        <x:v>12500</x:v>
      </x:c>
      <x:c r="F21" s="104" t="str">
        <x:f>IF(C21&lt;&gt;"",VLOOKUP(C21,명단!$C$4:$F$90,2,FALSE),"")</x:f>
        <x:v>안자현</x:v>
      </x:c>
      <x:c r="G21" s="105">
        <x:f>IF(E21="","",E21-D21)</x:f>
        <x:v>4270</x:v>
      </x:c>
      <x:c r="H21" s="105">
        <x:f>IF(G21&lt;&gt;"",$H$7,"")</x:f>
        <x:v>2480</x:v>
      </x:c>
      <x:c r="I21" s="106">
        <x:f>IF(G21&lt;&gt;"",G21/H21,"")</x:f>
        <x:v>1.721774193548387</x:v>
      </x:c>
      <x:c r="J21" s="153">
        <x:v>4</x:v>
      </x:c>
      <x:c r="K21" s="107" t="str">
        <x:f>IF(C21&lt;&gt;"","완료","")</x:f>
        <x:v>완료</x:v>
      </x:c>
      <x:c r="L21" s="101"/>
      <x:c r="N21" s="119"/>
      <x:c r="O21" s="88"/>
      <x:c r="P21" s="88"/>
      <x:c r="Q21" s="120"/>
      <x:c r="R21" s="121"/>
    </x:row>
    <x:row r="22" spans="1:18" s="11" customFormat="1" ht="19.5" customHeight="1">
      <x:c r="A22" s="9"/>
      <x:c r="B22" s="133">
        <x:f>B21+1</x:f>
        <x:v>46</x:v>
      </x:c>
      <x:c r="C22" s="101">
        <x:v>5021</x:v>
      </x:c>
      <x:c r="D22" s="103">
        <x:v>8555</x:v>
      </x:c>
      <x:c r="E22" s="103">
        <x:v>12680</x:v>
      </x:c>
      <x:c r="F22" s="104" t="str">
        <x:f>IF(C22&lt;&gt;"",VLOOKUP(C22,명단!$C$4:$F$90,2,FALSE),"")</x:f>
        <x:v>김영길</x:v>
      </x:c>
      <x:c r="G22" s="105">
        <x:f>IF(E22="","",E22-D22)</x:f>
        <x:v>4125</x:v>
      </x:c>
      <x:c r="H22" s="105">
        <x:f>IF(G22&lt;&gt;"",$H$7,"")</x:f>
        <x:v>2480</x:v>
      </x:c>
      <x:c r="I22" s="106">
        <x:f>IF(G22&lt;&gt;"",G22/H22,"")</x:f>
        <x:v>1.6633064516129032</x:v>
      </x:c>
      <x:c r="J22" s="153">
        <x:v>4</x:v>
      </x:c>
      <x:c r="K22" s="107" t="str">
        <x:f>IF(C22&lt;&gt;"","완료","")</x:f>
        <x:v>완료</x:v>
      </x:c>
      <x:c r="L22" s="101"/>
      <x:c r="N22" s="243" t="s">
        <x:v>140</x:v>
      </x:c>
      <x:c r="O22" s="244"/>
      <x:c r="P22" s="244"/>
      <x:c r="Q22" s="245"/>
      <x:c r="R22" s="89"/>
    </x:row>
    <x:row r="23" spans="1:18" s="11" customFormat="1" ht="19.5" customHeight="1">
      <x:c r="A23" s="9"/>
      <x:c r="B23" s="133">
        <x:f>B22+1</x:f>
        <x:v>47</x:v>
      </x:c>
      <x:c r="C23" s="101">
        <x:v>4510</x:v>
      </x:c>
      <x:c r="D23" s="103">
        <x:v>8950</x:v>
      </x:c>
      <x:c r="E23" s="103">
        <x:v>13135</x:v>
      </x:c>
      <x:c r="F23" s="104" t="str">
        <x:f>IF(C23&lt;&gt;"",VLOOKUP(C23,명단!$C$4:$F$90,2,FALSE),"")</x:f>
        <x:v>심우철</x:v>
      </x:c>
      <x:c r="G23" s="105">
        <x:f>IF(E23="","",E23-D23)</x:f>
        <x:v>4185</x:v>
      </x:c>
      <x:c r="H23" s="105">
        <x:f>IF(G23&lt;&gt;"",$H$7,"")</x:f>
        <x:v>2480</x:v>
      </x:c>
      <x:c r="I23" s="106">
        <x:f>IF(G23&lt;&gt;"",G23/H23,"")</x:f>
        <x:v>1.6875</x:v>
      </x:c>
      <x:c r="J23" s="153">
        <x:v>4</x:v>
      </x:c>
      <x:c r="K23" s="107" t="str">
        <x:f>IF(C23&lt;&gt;"","완료","")</x:f>
        <x:v>완료</x:v>
      </x:c>
      <x:c r="L23" s="101"/>
      <x:c r="N23" s="122"/>
      <x:c r="O23" s="87"/>
      <x:c r="P23" s="87"/>
      <x:c r="Q23" s="123"/>
      <x:c r="R23" s="121"/>
    </x:row>
    <x:row r="24" spans="1:18" s="11" customFormat="1" ht="19.5" customHeight="1">
      <x:c r="A24" s="9"/>
      <x:c r="B24" s="133">
        <x:f>B23+1</x:f>
        <x:v>48</x:v>
      </x:c>
      <x:c r="C24" s="101">
        <x:v>5579</x:v>
      </x:c>
      <x:c r="D24" s="103">
        <x:v>9000</x:v>
      </x:c>
      <x:c r="E24" s="103">
        <x:v>13125</x:v>
      </x:c>
      <x:c r="F24" s="104" t="str">
        <x:f>IF(C24&lt;&gt;"",VLOOKUP(C24,명단!$C$4:$F$90,2,FALSE),"")</x:f>
        <x:v>박승렬</x:v>
      </x:c>
      <x:c r="G24" s="105">
        <x:f>IF(E24="","",E24-D24)</x:f>
        <x:v>4125</x:v>
      </x:c>
      <x:c r="H24" s="105">
        <x:f>IF(G24&lt;&gt;"",$H$7,"")</x:f>
        <x:v>2480</x:v>
      </x:c>
      <x:c r="I24" s="106">
        <x:f>IF(G24&lt;&gt;"",G24/H24,"")</x:f>
        <x:v>1.6633064516129032</x:v>
      </x:c>
      <x:c r="J24" s="153">
        <x:v>4</x:v>
      </x:c>
      <x:c r="K24" s="107" t="str">
        <x:f>IF(C24&lt;&gt;"","완료","")</x:f>
        <x:v>완료</x:v>
      </x:c>
      <x:c r="L24" s="101"/>
      <x:c r="N24" s="240" t="s">
        <x:v>2</x:v>
      </x:c>
      <x:c r="O24" s="241"/>
      <x:c r="P24" s="241"/>
      <x:c r="Q24" s="242"/>
      <x:c r="R24" s="118"/>
    </x:row>
    <x:row r="25" spans="1:18" s="11" customFormat="1" ht="19.5" customHeight="1">
      <x:c r="A25" s="9"/>
      <x:c r="B25" s="133">
        <x:f>B24+1</x:f>
        <x:v>49</x:v>
      </x:c>
      <x:c r="C25" s="101">
        <x:v>3403</x:v>
      </x:c>
      <x:c r="D25" s="103">
        <x:v>8435</x:v>
      </x:c>
      <x:c r="E25" s="103">
        <x:v>11695</x:v>
      </x:c>
      <x:c r="F25" s="104" t="str">
        <x:f>IF(C25&lt;&gt;"",VLOOKUP(C25,명단!$C$4:$F$90,2,FALSE),"")</x:f>
        <x:v>신공식</x:v>
      </x:c>
      <x:c r="G25" s="105">
        <x:f>IF(E25="","",E25-D25)</x:f>
        <x:v>3260</x:v>
      </x:c>
      <x:c r="H25" s="105">
        <x:v>1960</x:v>
      </x:c>
      <x:c r="I25" s="106">
        <x:f>IF(G25&lt;&gt;"",G25/H25,"")</x:f>
        <x:v>1.6632653061224489</x:v>
      </x:c>
      <x:c r="J25" s="153">
        <x:v>4</x:v>
      </x:c>
      <x:c r="K25" s="107" t="str">
        <x:f>IF(C25&lt;&gt;"","완료","")</x:f>
        <x:v>완료</x:v>
      </x:c>
      <x:c r="L25" s="101"/>
      <x:c r="N25" s="124"/>
      <x:c r="O25" s="118"/>
      <x:c r="P25" s="118"/>
      <x:c r="Q25" s="125"/>
      <x:c r="R25" s="118"/>
    </x:row>
    <x:row r="26" spans="1:18" s="11" customFormat="1" ht="19.5" customHeight="1">
      <x:c r="A26" s="9"/>
      <x:c r="B26" s="143"/>
      <x:c r="C26" s="101"/>
      <x:c r="D26" s="103"/>
      <x:c r="E26" s="103"/>
      <x:c r="F26" s="104" t="str">
        <x:f>IF(C26&lt;&gt;"",VLOOKUP(C26,명단!$C$4:$F$90,2,FALSE),"")</x:f>
        <x:v/>
      </x:c>
      <x:c r="G26" s="105" t="str">
        <x:f>IF(E26="","",E26-D26)</x:f>
        <x:v/>
      </x:c>
      <x:c r="H26" s="105" t="str">
        <x:f>IF(G26&lt;&gt;"",$H$7,"")</x:f>
        <x:v/>
      </x:c>
      <x:c r="I26" s="106" t="str">
        <x:f>IF(G26&lt;&gt;"",G26/H26,"")</x:f>
        <x:v/>
      </x:c>
      <x:c r="J26" s="153"/>
      <x:c r="K26" s="107" t="str">
        <x:f>IF(C26&lt;&gt;"","완료","")</x:f>
        <x:v/>
      </x:c>
      <x:c r="L26" s="101"/>
      <x:c r="N26" s="240" t="s">
        <x:v>134</x:v>
      </x:c>
      <x:c r="O26" s="241"/>
      <x:c r="P26" s="241"/>
      <x:c r="Q26" s="242"/>
      <x:c r="R26" s="118"/>
    </x:row>
    <x:row r="27" spans="1:18" s="11" customFormat="1" ht="19.5" customHeight="1">
      <x:c r="A27" s="9"/>
      <x:c r="B27" s="143"/>
      <x:c r="C27" s="101"/>
      <x:c r="D27" s="103"/>
      <x:c r="E27" s="103"/>
      <x:c r="F27" s="104" t="str">
        <x:f>IF(C27&lt;&gt;"",VLOOKUP(C27,명단!$C$4:$F$90,2,FALSE),"")</x:f>
        <x:v/>
      </x:c>
      <x:c r="G27" s="105" t="str">
        <x:f>IF(E27="","",E27-D27)</x:f>
        <x:v/>
      </x:c>
      <x:c r="H27" s="105" t="str">
        <x:f>IF(G27&lt;&gt;"",$H$7,"")</x:f>
        <x:v/>
      </x:c>
      <x:c r="I27" s="106" t="str">
        <x:f>IF(G27&lt;&gt;"",G27/H27,"")</x:f>
        <x:v/>
      </x:c>
      <x:c r="J27" s="153"/>
      <x:c r="K27" s="107" t="str">
        <x:f>IF(C27&lt;&gt;"","완료","")</x:f>
        <x:v/>
      </x:c>
      <x:c r="L27" s="101"/>
      <x:c r="N27" s="126"/>
      <x:c r="O27" s="127"/>
      <x:c r="P27" s="127"/>
      <x:c r="Q27" s="128"/>
      <x:c r="R27" s="121"/>
    </x:row>
    <x:row r="28" spans="1:18" s="11" customFormat="1" ht="19.5" customHeight="1">
      <x:c r="A28" s="9"/>
      <x:c r="B28" s="143"/>
      <x:c r="C28" s="101"/>
      <x:c r="D28" s="103"/>
      <x:c r="E28" s="103"/>
      <x:c r="F28" s="104" t="str">
        <x:f>IF(C28&lt;&gt;"",VLOOKUP(C28,명단!$C$4:$F$90,2,FALSE),"")</x:f>
        <x:v/>
      </x:c>
      <x:c r="G28" s="105" t="str">
        <x:f>IF(E28="","",E28-D28)</x:f>
        <x:v/>
      </x:c>
      <x:c r="H28" s="105" t="str">
        <x:f>IF(G28&lt;&gt;"",$H$7,"")</x:f>
        <x:v/>
      </x:c>
      <x:c r="I28" s="106" t="str">
        <x:f>IF(G28&lt;&gt;"",G28/H28,"")</x:f>
        <x:v/>
      </x:c>
      <x:c r="J28" s="153"/>
      <x:c r="K28" s="107" t="str">
        <x:f>IF(C28&lt;&gt;"","완료","")</x:f>
        <x:v/>
      </x:c>
      <x:c r="L28" s="101"/>
      <x:c r="N28" s="3"/>
      <x:c r="O28" s="3"/>
      <x:c r="P28" s="3"/>
      <x:c r="Q28" s="3"/>
      <x:c r="R28" s="100"/>
    </x:row>
    <x:row r="29" spans="1:18" s="11" customFormat="1" ht="19.5" customHeight="1">
      <x:c r="A29" s="9"/>
      <x:c r="B29" s="143"/>
      <x:c r="C29" s="101"/>
      <x:c r="D29" s="103"/>
      <x:c r="E29" s="103"/>
      <x:c r="F29" s="104" t="str">
        <x:f>IF(C29&lt;&gt;"",VLOOKUP(C29,명단!$C$4:$F$90,2,FALSE),"")</x:f>
        <x:v/>
      </x:c>
      <x:c r="G29" s="105" t="str">
        <x:f>IF(E29="","",E29-D29)</x:f>
        <x:v/>
      </x:c>
      <x:c r="H29" s="105" t="str">
        <x:f>IF(G29&lt;&gt;"",$H$7,"")</x:f>
        <x:v/>
      </x:c>
      <x:c r="I29" s="106" t="str">
        <x:f>IF(G29&lt;&gt;"",G29/H29,"")</x:f>
        <x:v/>
      </x:c>
      <x:c r="J29" s="153"/>
      <x:c r="K29" s="107" t="str">
        <x:f>IF(C29&lt;&gt;"","완료","")</x:f>
        <x:v/>
      </x:c>
      <x:c r="L29" s="101"/>
      <x:c r="R29" s="100"/>
    </x:row>
    <x:row r="30" spans="1:18" s="11" customFormat="1" ht="19.5" customHeight="1">
      <x:c r="A30" s="9"/>
      <x:c r="B30" s="143"/>
      <x:c r="C30" s="101"/>
      <x:c r="D30" s="103"/>
      <x:c r="E30" s="103"/>
      <x:c r="F30" s="104" t="str">
        <x:f>IF(C30&lt;&gt;"",VLOOKUP(C30,명단!$C$4:$F$90,2,FALSE),"")</x:f>
        <x:v/>
      </x:c>
      <x:c r="G30" s="105" t="str">
        <x:f>IF(E30="","",E30-D30)</x:f>
        <x:v/>
      </x:c>
      <x:c r="H30" s="105" t="str">
        <x:f>IF(G30&lt;&gt;"",$H$7,"")</x:f>
        <x:v/>
      </x:c>
      <x:c r="I30" s="106" t="str">
        <x:f>IF(G30&lt;&gt;"",G30/H30,"")</x:f>
        <x:v/>
      </x:c>
      <x:c r="J30" s="153"/>
      <x:c r="K30" s="107" t="str">
        <x:f>IF(C30&lt;&gt;"","완료","")</x:f>
        <x:v/>
      </x:c>
      <x:c r="L30" s="101"/>
      <x:c r="R30" s="89"/>
    </x:row>
    <x:row r="31" spans="1:18" s="11" customFormat="1" ht="19.5" customHeight="1">
      <x:c r="A31" s="9"/>
      <x:c r="B31" s="143"/>
      <x:c r="C31" s="101"/>
      <x:c r="D31" s="103"/>
      <x:c r="E31" s="103"/>
      <x:c r="F31" s="104" t="str">
        <x:f>IF(C31&lt;&gt;"",VLOOKUP(C31,명단!$C$4:$F$90,2,FALSE),"")</x:f>
        <x:v/>
      </x:c>
      <x:c r="G31" s="105" t="str">
        <x:f>IF(E31="","",E31-D31)</x:f>
        <x:v/>
      </x:c>
      <x:c r="H31" s="105" t="str">
        <x:f>IF(G31&lt;&gt;"",$H$7,"")</x:f>
        <x:v/>
      </x:c>
      <x:c r="I31" s="106" t="str">
        <x:f>IF(G31&lt;&gt;"",G31/H31,"")</x:f>
        <x:v/>
      </x:c>
      <x:c r="J31" s="153"/>
      <x:c r="K31" s="107" t="str">
        <x:f>IF(C31&lt;&gt;"","완료","")</x:f>
        <x:v/>
      </x:c>
      <x:c r="L31" s="101"/>
      <x:c r="R31" s="89"/>
    </x:row>
    <x:row r="32" spans="2:12" ht="21" customHeight="1">
      <x:c r="B32" s="143"/>
      <x:c r="C32" s="101"/>
      <x:c r="D32" s="103"/>
      <x:c r="E32" s="103"/>
      <x:c r="F32" s="104" t="str">
        <x:f>IF(C32&lt;&gt;"",VLOOKUP(C32,명단!$C$4:$F$90,2,FALSE),"")</x:f>
        <x:v/>
      </x:c>
      <x:c r="G32" s="105" t="str">
        <x:f>IF(E32="","",E32-D32)</x:f>
        <x:v/>
      </x:c>
      <x:c r="H32" s="105" t="str">
        <x:f>IF(G32&lt;&gt;"",$H$7,"")</x:f>
        <x:v/>
      </x:c>
      <x:c r="I32" s="106" t="str">
        <x:f>IF(G32&lt;&gt;"",G32/H32,"")</x:f>
        <x:v/>
      </x:c>
      <x:c r="J32" s="153"/>
      <x:c r="K32" s="107" t="str">
        <x:f>IF(C32&lt;&gt;"","완료","")</x:f>
        <x:v/>
      </x:c>
      <x:c r="L32" s="101"/>
    </x:row>
    <x:row r="33" spans="2:12" ht="19.5" customHeight="1">
      <x:c r="B33" s="143"/>
      <x:c r="C33" s="101"/>
      <x:c r="D33" s="103"/>
      <x:c r="E33" s="103"/>
      <x:c r="F33" s="104" t="str">
        <x:f>IF(C33&lt;&gt;"",VLOOKUP(C33,명단!$C$4:$F$90,2,FALSE),"")</x:f>
        <x:v/>
      </x:c>
      <x:c r="G33" s="105" t="str">
        <x:f>IF(E33="","",E33-D33)</x:f>
        <x:v/>
      </x:c>
      <x:c r="H33" s="105" t="str">
        <x:f>IF(G33&lt;&gt;"",$H$7,"")</x:f>
        <x:v/>
      </x:c>
      <x:c r="I33" s="106" t="str">
        <x:f>IF(G33&lt;&gt;"",G33/H33,"")</x:f>
        <x:v/>
      </x:c>
      <x:c r="J33" s="153"/>
      <x:c r="K33" s="107" t="str">
        <x:f>IF(C33&lt;&gt;"","완료","")</x:f>
        <x:v/>
      </x:c>
      <x:c r="L33" s="101"/>
    </x:row>
    <x:row r="34" spans="2:12" ht="19.5" customHeight="1">
      <x:c r="B34" s="143"/>
      <x:c r="C34" s="101"/>
      <x:c r="D34" s="103"/>
      <x:c r="E34" s="103"/>
      <x:c r="F34" s="104" t="str">
        <x:f>IF(C34&lt;&gt;"",VLOOKUP(C34,명단!$C$4:$F$90,2,FALSE),"")</x:f>
        <x:v/>
      </x:c>
      <x:c r="G34" s="105" t="str">
        <x:f>IF(E34="","",E34-D34)</x:f>
        <x:v/>
      </x:c>
      <x:c r="H34" s="105" t="str">
        <x:f>IF(G34&lt;&gt;"",$H$7,"")</x:f>
        <x:v/>
      </x:c>
      <x:c r="I34" s="106" t="str">
        <x:f>IF(G34&lt;&gt;"",G34/H34,"")</x:f>
        <x:v/>
      </x:c>
      <x:c r="J34" s="153"/>
      <x:c r="K34" s="107" t="str">
        <x:f>IF(C34&lt;&gt;"","완료","")</x:f>
        <x:v/>
      </x:c>
      <x:c r="L34" s="101"/>
    </x:row>
    <x:row r="35" spans="1:18" s="11" customFormat="1" ht="19.5" customHeight="1">
      <x:c r="A35" s="9"/>
      <x:c r="B35" s="133" t="s">
        <x:v>15</x:v>
      </x:c>
      <x:c r="C35" s="101"/>
      <x:c r="D35" s="103"/>
      <x:c r="E35" s="103"/>
      <x:c r="F35" s="104" t="str">
        <x:f>IF(C35&lt;&gt;"",VLOOKUP(C35,명단!$C$4:$F$90,2,FALSE),"")</x:f>
        <x:v/>
      </x:c>
      <x:c r="G35" s="105">
        <x:f>SUM(G7:G25)</x:f>
        <x:v>79420</x:v>
      </x:c>
      <x:c r="H35" s="105">
        <x:f>SUM(H7:H25)</x:f>
        <x:v>46600</x:v>
      </x:c>
      <x:c r="I35" s="106">
        <x:f>IF(G35&lt;&gt;"",G35/H35,"")</x:f>
        <x:v>1.7042918454935623</x:v>
      </x:c>
      <x:c r="J35" s="153"/>
      <x:c r="K35" s="107"/>
      <x:c r="L35" s="101"/>
      <x:c r="R35" s="89"/>
    </x:row>
    <x:row r="36" spans="1:18" s="11" customFormat="1" ht="19.5" customHeight="1">
      <x:c r="A36" s="9"/>
      <x:c r="B36" s="143"/>
      <x:c r="C36" s="101"/>
      <x:c r="D36" s="103"/>
      <x:c r="E36" s="103"/>
      <x:c r="F36" s="104" t="str">
        <x:f>IF(C36&lt;&gt;"",VLOOKUP(C36,명단!$C$4:$F$90,2,FALSE),"")</x:f>
        <x:v/>
      </x:c>
      <x:c r="G36" s="105"/>
      <x:c r="H36" s="105" t="str">
        <x:f>IF(G36&lt;&gt;"",$H$7,"")</x:f>
        <x:v/>
      </x:c>
      <x:c r="I36" s="106"/>
      <x:c r="J36" s="153"/>
      <x:c r="K36" s="107"/>
      <x:c r="L36" s="101"/>
      <x:c r="R36" s="89"/>
    </x:row>
    <x:row r="37" spans="2:12" ht="19.5" customHeight="1">
      <x:c r="B37" s="133" t="s">
        <x:v>91</x:v>
      </x:c>
      <x:c r="C37" s="133"/>
      <x:c r="D37" s="133"/>
      <x:c r="E37" s="133"/>
      <x:c r="F37" s="133"/>
      <x:c r="G37" s="135">
        <x:f>G35+'3'!G37</x:f>
        <x:v>218915</x:v>
      </x:c>
      <x:c r="H37" s="135">
        <x:f>H35+'3'!H37</x:f>
        <x:v>125600</x:v>
      </x:c>
      <x:c r="I37" s="136">
        <x:f>IF(H37&lt;&gt;0,G37/H37,0)</x:f>
        <x:v>1.742953821656051</x:v>
      </x:c>
      <x:c r="J37" s="134"/>
      <x:c r="K37" s="133"/>
      <x:c r="L37" s="133"/>
    </x:row>
    <x:row r="38" spans="7:9" ht="11.25" customHeight="1">
      <x:c r="G38" s="3"/>
      <x:c r="H38" s="16"/>
      <x:c r="I38" s="20"/>
    </x:row>
    <x:row r="39" spans="2:9" ht="19.5" customHeight="1">
      <x:c r="B39" s="101" t="s">
        <x:v>11</x:v>
      </x:c>
      <x:c r="C39" s="129">
        <x:v>3403</x:v>
      </x:c>
      <x:c r="D39" s="27"/>
      <x:c r="E39" s="27"/>
      <x:c r="F39" s="27"/>
      <x:c r="G39" s="138">
        <x:v>3260</x:v>
      </x:c>
      <x:c r="H39" s="131">
        <x:f>G39/I39</x:f>
        <x:v>1963.8554216867471</x:v>
      </x:c>
      <x:c r="I39" s="139">
        <x:v>1.6599999999999999</x:v>
      </x:c>
    </x:row>
    <x:row r="40" ht="19.5" customHeight="1"/>
    <x:row r="41" spans="1:18" s="11" customFormat="1" ht="19.5" customHeight="1">
      <x:c r="A41" s="9"/>
      <x:c r="J41" s="145"/>
      <x:c r="R41" s="89"/>
    </x:row>
    <x:row r="42" spans="1:18" s="11" customFormat="1" ht="19.5" customHeight="1">
      <x:c r="A42" s="9"/>
      <x:c r="G42" s="62"/>
      <x:c r="H42" s="62"/>
      <x:c r="I42" s="62"/>
      <x:c r="J42" s="145"/>
      <x:c r="R42" s="89"/>
    </x:row>
    <x:row r="43" spans="7:9" ht="19.5" customHeight="1">
      <x:c r="G43" s="62"/>
      <x:c r="H43" s="62"/>
      <x:c r="I43" s="62"/>
    </x:row>
    <x:row r="44" spans="7:9" ht="28.5" customHeight="1">
      <x:c r="G44" s="62"/>
      <x:c r="H44" s="62"/>
      <x:c r="I44" s="62"/>
    </x:row>
    <x:row r="45" spans="7:9" ht="28.5" customHeight="1">
      <x:c r="G45" s="62"/>
      <x:c r="H45" s="62"/>
      <x:c r="I45" s="62"/>
    </x:row>
    <x:row r="46" spans="7:9" ht="28.5" customHeight="1">
      <x:c r="G46" s="62"/>
      <x:c r="H46" s="62"/>
      <x:c r="I46" s="62"/>
    </x:row>
    <x:row r="47" spans="7:9" ht="28.5" customHeight="1">
      <x:c r="G47" s="62"/>
      <x:c r="H47" s="62"/>
      <x:c r="I47" s="62"/>
    </x:row>
    <x:row r="48" spans="7:9" ht="22.5" customHeight="1">
      <x:c r="G48" s="62"/>
      <x:c r="H48" s="62"/>
      <x:c r="I48" s="62"/>
    </x:row>
    <x:row r="49" spans="7:9">
      <x:c r="G49" s="62"/>
      <x:c r="H49" s="62"/>
      <x:c r="I49" s="62"/>
    </x:row>
    <x:row r="50" spans="7:9">
      <x:c r="G50" s="62"/>
      <x:c r="H50" s="62"/>
      <x:c r="I50" s="62"/>
    </x:row>
    <x:row r="51" spans="7:9">
      <x:c r="G51" s="62"/>
      <x:c r="H51" s="62"/>
      <x:c r="I51" s="62"/>
    </x:row>
  </x:sheetData>
  <x:sortState columnSort="0" caseSensitive="0" ref="C14:I15">
    <x:sortCondition descending="0" sortBy="value" ref="H14:H15"/>
  </x:sortState>
  <x:mergeCells count="16">
    <x:mergeCell ref="B2:L2"/>
    <x:mergeCell ref="B4:C4"/>
    <x:mergeCell ref="N7:Q8"/>
    <x:mergeCell ref="N9:Q9"/>
    <x:mergeCell ref="O10:Q10"/>
    <x:mergeCell ref="O12:Q12"/>
    <x:mergeCell ref="O13:Q13"/>
    <x:mergeCell ref="O14:P14"/>
    <x:mergeCell ref="O15:P15"/>
    <x:mergeCell ref="O16:P16"/>
    <x:mergeCell ref="O17:P17"/>
    <x:mergeCell ref="O18:P18"/>
    <x:mergeCell ref="N20:Q20"/>
    <x:mergeCell ref="N22:Q22"/>
    <x:mergeCell ref="N24:Q24"/>
    <x:mergeCell ref="N26:Q26"/>
  </x:mergeCells>
  <x:printOptions horizontalCentered="1" verticalCentered="1" headings="0" gridLines="0" gridLinesSet="1"/>
  <x:pageMargins left="0.78694444894790649" right="0.78694444894790649" top="0.39375001192092896" bottom="0.39375001192092896" header="0.39375001192092896" footer="0.39375001192092896"/>
  <x:pageSetup paperSize="9" scale="100" firstPageNumber="1" fitToWidth="1" fitToHeight="1" orientation="portrait" usePrinterDefaults="1" blackAndWhite="0" draft="0" useFirstPageNumber="0" horizontalDpi="300" verticalDpi="300" copies="1"/>
  <x: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17"/>
  <x:dimension ref="A1:R51"/>
  <x:sheetViews>
    <x:sheetView topLeftCell="A1" zoomScale="80" zoomScaleNormal="80" zoomScaleSheetLayoutView="75" workbookViewId="0">
      <x:selection activeCell="B1" activeCellId="0" sqref="B1:L37"/>
    </x:sheetView>
  </x:sheetViews>
  <x:sheetFormatPr defaultColWidth="9.00390625" defaultRowHeight="23.5"/>
  <x:cols>
    <x:col min="1" max="1" width="1.875" style="9" customWidth="1"/>
    <x:col min="2" max="2" width="5.4296875" style="9" bestFit="1" customWidth="1"/>
    <x:col min="3" max="3" width="6.6953125" style="9" bestFit="1" customWidth="1"/>
    <x:col min="4" max="4" width="7.8046875" style="9" bestFit="1" customWidth="1"/>
    <x:col min="5" max="5" width="9.05859375" style="9" bestFit="1" customWidth="1"/>
    <x:col min="6" max="6" width="7.640625" style="9" bestFit="1" customWidth="1"/>
    <x:col min="7" max="7" width="10.32421875" style="9" bestFit="1" customWidth="1"/>
    <x:col min="8" max="8" width="9.05859375" style="9" bestFit="1" customWidth="1"/>
    <x:col min="9" max="9" width="7.8046875" style="9" bestFit="1" customWidth="1"/>
    <x:col min="10" max="10" width="5.58984375" style="148" bestFit="1" customWidth="1"/>
    <x:col min="11" max="12" width="5.4296875" style="9" bestFit="1" customWidth="1"/>
    <x:col min="13" max="13" width="1.875" style="11" customWidth="1"/>
    <x:col min="14" max="14" width="9.8515625" style="11" bestFit="1" customWidth="1"/>
    <x:col min="15" max="15" width="6.0625" style="11" bestFit="1" customWidth="1"/>
    <x:col min="16" max="16" width="7.640625" style="11" bestFit="1" customWidth="1"/>
    <x:col min="17" max="17" width="10.375" style="11" customWidth="1"/>
    <x:col min="18" max="18" width="1.875" style="89" customWidth="1"/>
    <x:col min="19" max="21" width="9" style="11"/>
    <x:col min="22" max="22" width="3.125" style="11" customWidth="1"/>
    <x:col min="23" max="16294" width="9" style="11"/>
    <x:col min="16295" max="16384" width="9.00390625" style="11"/>
  </x:cols>
  <x:sheetData>
    <x:row r="1" spans="2:12" ht="11.25" customHeight="1">
      <x:c r="B1" s="90"/>
      <x:c r="C1" s="90"/>
      <x:c r="D1" s="90"/>
      <x:c r="E1" s="90"/>
      <x:c r="F1" s="90"/>
      <x:c r="G1" s="90"/>
      <x:c r="H1" s="90"/>
      <x:c r="I1" s="90"/>
      <x:c r="J1" s="132"/>
      <x:c r="K1" s="90"/>
      <x:c r="L1" s="90"/>
    </x:row>
    <x:row r="2" spans="2:12" ht="19.5" customHeight="1">
      <x:c r="B2" s="221" t="str">
        <x:f>'1'!B2</x:f>
        <x:v>체리부로 26회차  출하 집계표</x:v>
      </x:c>
      <x:c r="C2" s="221"/>
      <x:c r="D2" s="221"/>
      <x:c r="E2" s="221"/>
      <x:c r="F2" s="221"/>
      <x:c r="G2" s="221"/>
      <x:c r="H2" s="221"/>
      <x:c r="I2" s="221"/>
      <x:c r="J2" s="221"/>
      <x:c r="K2" s="221"/>
      <x:c r="L2" s="221" t="s">
        <x:v>197</x:v>
      </x:c>
    </x:row>
    <x:row r="3" spans="2:12" ht="11.25" customHeight="1">
      <x:c r="B3" s="92"/>
      <x:c r="C3" s="92"/>
      <x:c r="D3" s="92"/>
      <x:c r="E3" s="92"/>
      <x:c r="F3" s="92"/>
      <x:c r="G3" s="92"/>
      <x:c r="H3" s="92"/>
      <x:c r="I3" s="92"/>
      <x:c r="J3" s="146"/>
      <x:c r="K3" s="92"/>
      <x:c r="L3" s="92"/>
    </x:row>
    <x:row r="4" spans="2:12" ht="19.5" customHeight="1">
      <x:c r="B4" s="222">
        <x:v>46045</x:v>
      </x:c>
      <x:c r="C4" s="222"/>
      <x:c r="D4" s="94"/>
      <x:c r="E4" s="94"/>
      <x:c r="F4" s="95">
        <x:v>31</x:v>
      </x:c>
      <x:c r="G4" s="96" t="s">
        <x:v>103</x:v>
      </x:c>
      <x:c r="H4" s="97">
        <x:v>1.77</x:v>
      </x:c>
      <x:c r="I4" s="98" t="s">
        <x:v>108</x:v>
      </x:c>
      <x:c r="J4" s="146"/>
      <x:c r="K4" s="92"/>
      <x:c r="L4" s="92"/>
    </x:row>
    <x:row r="5" spans="2:12" ht="11.25" customHeight="1">
      <x:c r="B5" s="99"/>
      <x:c r="C5" s="92"/>
      <x:c r="D5" s="92"/>
      <x:c r="E5" s="92"/>
      <x:c r="F5" s="92"/>
      <x:c r="G5" s="92"/>
      <x:c r="H5" s="92"/>
      <x:c r="I5" s="99"/>
      <x:c r="J5" s="132"/>
      <x:c r="K5" s="92"/>
      <x:c r="L5" s="92"/>
    </x:row>
    <x:row r="6" spans="2:18" ht="21" customHeight="1">
      <x:c r="B6" s="133" t="s">
        <x:v>105</x:v>
      </x:c>
      <x:c r="C6" s="133" t="s">
        <x:v>50</x:v>
      </x:c>
      <x:c r="D6" s="133" t="s">
        <x:v>4</x:v>
      </x:c>
      <x:c r="E6" s="133" t="s">
        <x:v>58</x:v>
      </x:c>
      <x:c r="F6" s="133" t="s">
        <x:v>14</x:v>
      </x:c>
      <x:c r="G6" s="133" t="s">
        <x:v>7</x:v>
      </x:c>
      <x:c r="H6" s="133" t="s">
        <x:v>75</x:v>
      </x:c>
      <x:c r="I6" s="133" t="s">
        <x:v>104</x:v>
      </x:c>
      <x:c r="J6" s="134" t="s">
        <x:v>5</x:v>
      </x:c>
      <x:c r="K6" s="133" t="s">
        <x:v>102</x:v>
      </x:c>
      <x:c r="L6" s="133" t="s">
        <x:v>21</x:v>
      </x:c>
      <x:c r="N6" s="3"/>
      <x:c r="O6" s="3"/>
      <x:c r="P6" s="3"/>
      <x:c r="Q6" s="3"/>
      <x:c r="R6" s="100"/>
    </x:row>
    <x:row r="7" spans="2:18" ht="19.5" customHeight="1">
      <x:c r="B7" s="133">
        <x:v>1</x:v>
      </x:c>
      <x:c r="C7" s="101">
        <x:v>6524</x:v>
      </x:c>
      <x:c r="D7" s="103">
        <x:v>8630</x:v>
      </x:c>
      <x:c r="E7" s="103">
        <x:v>13045</x:v>
      </x:c>
      <x:c r="F7" s="104" t="str">
        <x:f>IF(C7&lt;&gt;"",VLOOKUP(C7,명단!$C$4:$F$90,2,FALSE),"")</x:f>
        <x:v>김호찬</x:v>
      </x:c>
      <x:c r="G7" s="105">
        <x:f>IF(E7="","",E7-D7)</x:f>
        <x:v>4415</x:v>
      </x:c>
      <x:c r="H7" s="105">
        <x:v>2420</x:v>
      </x:c>
      <x:c r="I7" s="106">
        <x:f>IF(G7&lt;&gt;"",G7/H7,"")</x:f>
        <x:v>1.8243801652892562</x:v>
      </x:c>
      <x:c r="J7" s="153">
        <x:v>5</x:v>
      </x:c>
      <x:c r="K7" s="107" t="str">
        <x:f>IF(C7&lt;&gt;"","완료","")</x:f>
        <x:v>완료</x:v>
      </x:c>
      <x:c r="L7" s="101"/>
      <x:c r="N7" s="223" t="s">
        <x:v>148</x:v>
      </x:c>
      <x:c r="O7" s="224"/>
      <x:c r="P7" s="224"/>
      <x:c r="Q7" s="225"/>
      <x:c r="R7" s="108"/>
    </x:row>
    <x:row r="8" spans="2:18" ht="19.5" customHeight="1">
      <x:c r="B8" s="133">
        <x:f>B7+1</x:f>
        <x:v>2</x:v>
      </x:c>
      <x:c r="C8" s="101">
        <x:v>4440</x:v>
      </x:c>
      <x:c r="D8" s="103">
        <x:v>8785</x:v>
      </x:c>
      <x:c r="E8" s="103">
        <x:v>13180</x:v>
      </x:c>
      <x:c r="F8" s="104" t="str">
        <x:f>IF(C8&lt;&gt;"",VLOOKUP(C8,명단!$C$4:$F$90,2,FALSE),"")</x:f>
        <x:v>김성용</x:v>
      </x:c>
      <x:c r="G8" s="105">
        <x:f>IF(E8="","",E8-D8)</x:f>
        <x:v>4395</x:v>
      </x:c>
      <x:c r="H8" s="105">
        <x:f>IF(G8&lt;&gt;"",$H$7,"")</x:f>
        <x:v>2420</x:v>
      </x:c>
      <x:c r="I8" s="106">
        <x:f>IF(G8&lt;&gt;"",G8/H8,"")</x:f>
        <x:v>1.8161157024793388</x:v>
      </x:c>
      <x:c r="J8" s="153">
        <x:v>5</x:v>
      </x:c>
      <x:c r="K8" s="107" t="str">
        <x:f>IF(C8&lt;&gt;"","완료","")</x:f>
        <x:v>완료</x:v>
      </x:c>
      <x:c r="L8" s="101"/>
      <x:c r="N8" s="226"/>
      <x:c r="O8" s="227"/>
      <x:c r="P8" s="227"/>
      <x:c r="Q8" s="228"/>
      <x:c r="R8" s="108"/>
    </x:row>
    <x:row r="9" spans="2:18" ht="19.5" customHeight="1">
      <x:c r="B9" s="133">
        <x:f>B8+1</x:f>
        <x:v>3</x:v>
      </x:c>
      <x:c r="C9" s="101">
        <x:v>1267</x:v>
      </x:c>
      <x:c r="D9" s="103">
        <x:v>8655</x:v>
      </x:c>
      <x:c r="E9" s="103">
        <x:v>13100</x:v>
      </x:c>
      <x:c r="F9" s="104" t="str">
        <x:f>IF(C9&lt;&gt;"",VLOOKUP(C9,명단!$C$4:$F$90,2,FALSE),"")</x:f>
        <x:v>김용규</x:v>
      </x:c>
      <x:c r="G9" s="105">
        <x:f>IF(E9="","",E9-D9)</x:f>
        <x:v>4445</x:v>
      </x:c>
      <x:c r="H9" s="105">
        <x:f>IF(G9&lt;&gt;"",$H$7,"")</x:f>
        <x:v>2420</x:v>
      </x:c>
      <x:c r="I9" s="106">
        <x:f>IF(G9&lt;&gt;"",G9/H9,"")</x:f>
        <x:v>1.8367768595041323</x:v>
      </x:c>
      <x:c r="J9" s="153">
        <x:v>5</x:v>
      </x:c>
      <x:c r="K9" s="107" t="str">
        <x:f>IF(C9&lt;&gt;"","완료","")</x:f>
        <x:v>완료</x:v>
      </x:c>
      <x:c r="L9" s="101"/>
      <x:c r="N9" s="229" t="s">
        <x:v>172</x:v>
      </x:c>
      <x:c r="O9" s="230"/>
      <x:c r="P9" s="230"/>
      <x:c r="Q9" s="231"/>
      <x:c r="R9" s="100"/>
    </x:row>
    <x:row r="10" spans="2:18" ht="19.5" customHeight="1">
      <x:c r="B10" s="133">
        <x:f>B9+1</x:f>
        <x:v>4</x:v>
      </x:c>
      <x:c r="C10" s="101">
        <x:v>8383</x:v>
      </x:c>
      <x:c r="D10" s="103">
        <x:v>8760</x:v>
      </x:c>
      <x:c r="E10" s="103">
        <x:v>13170</x:v>
      </x:c>
      <x:c r="F10" s="104" t="str">
        <x:f>IF(C10&lt;&gt;"",VLOOKUP(C10,명단!$C$4:$F$90,2,FALSE),"")</x:f>
        <x:v>엄정섭</x:v>
      </x:c>
      <x:c r="G10" s="105">
        <x:f>IF(E10="","",E10-D10)</x:f>
        <x:v>4410</x:v>
      </x:c>
      <x:c r="H10" s="105">
        <x:f>IF(G10&lt;&gt;"",$H$7,"")</x:f>
        <x:v>2420</x:v>
      </x:c>
      <x:c r="I10" s="106">
        <x:f>IF(G10&lt;&gt;"",G10/H10,"")</x:f>
        <x:v>1.8223140495867769</x:v>
      </x:c>
      <x:c r="J10" s="153">
        <x:v>5</x:v>
      </x:c>
      <x:c r="K10" s="107" t="str">
        <x:f>IF(C10&lt;&gt;"","완료","")</x:f>
        <x:v>완료</x:v>
      </x:c>
      <x:c r="L10" s="101"/>
      <x:c r="N10" s="101" t="s">
        <x:v>143</x:v>
      </x:c>
      <x:c r="O10" s="232">
        <x:f ca="1">NOW()</x:f>
        <x:v>46088.592185856483</x:v>
      </x:c>
      <x:c r="P10" s="233"/>
      <x:c r="Q10" s="234"/>
      <x:c r="R10" s="109"/>
    </x:row>
    <x:row r="11" spans="2:18" ht="19.5" customHeight="1">
      <x:c r="B11" s="133">
        <x:f>B10+1</x:f>
        <x:v>5</x:v>
      </x:c>
      <x:c r="C11" s="101">
        <x:v>8809</x:v>
      </x:c>
      <x:c r="D11" s="103">
        <x:v>8730</x:v>
      </x:c>
      <x:c r="E11" s="103">
        <x:v>13085</x:v>
      </x:c>
      <x:c r="F11" s="104" t="str">
        <x:f>IF(C11&lt;&gt;"",VLOOKUP(C11,명단!$C$4:$F$90,2,FALSE),"")</x:f>
        <x:v>양승달</x:v>
      </x:c>
      <x:c r="G11" s="105">
        <x:f>IF(E11="","",E11-D11)</x:f>
        <x:v>4355</x:v>
      </x:c>
      <x:c r="H11" s="105">
        <x:f>IF(G11&lt;&gt;"",$H$7,"")</x:f>
        <x:v>2420</x:v>
      </x:c>
      <x:c r="I11" s="106">
        <x:f>IF(G11&lt;&gt;"",G11/H11,"")</x:f>
        <x:v>1.7995867768595042</x:v>
      </x:c>
      <x:c r="J11" s="153">
        <x:v>5</x:v>
      </x:c>
      <x:c r="K11" s="107" t="str">
        <x:f>IF(C11&lt;&gt;"","완료","")</x:f>
        <x:v>완료</x:v>
      </x:c>
      <x:c r="L11" s="101"/>
      <x:c r="N11" s="101" t="s">
        <x:v>50</x:v>
      </x:c>
      <x:c r="O11" s="107">
        <x:f>C39</x:f>
        <x:v>4109</x:v>
      </x:c>
      <x:c r="P11" s="107" t="s">
        <x:v>73</x:v>
      </x:c>
      <x:c r="Q11" s="107" t="str">
        <x:f>VLOOKUP(O11,C7:I36,4,0)</x:f>
        <x:v>장성조</x:v>
      </x:c>
      <x:c r="R11" s="110"/>
    </x:row>
    <x:row r="12" spans="2:18" ht="19.5" customHeight="1">
      <x:c r="B12" s="133">
        <x:f>B11+1</x:f>
        <x:v>6</x:v>
      </x:c>
      <x:c r="C12" s="101">
        <x:v>6282</x:v>
      </x:c>
      <x:c r="D12" s="103">
        <x:v>8695</x:v>
      </x:c>
      <x:c r="E12" s="103">
        <x:v>13070</x:v>
      </x:c>
      <x:c r="F12" s="104" t="str">
        <x:f>IF(C12&lt;&gt;"",VLOOKUP(C12,명단!$C$4:$F$90,2,FALSE),"")</x:f>
        <x:v>이성재</x:v>
      </x:c>
      <x:c r="G12" s="105">
        <x:f>IF(E12="","",E12-D12)</x:f>
        <x:v>4375</x:v>
      </x:c>
      <x:c r="H12" s="105">
        <x:f>IF(G12&lt;&gt;"",$H$7,"")</x:f>
        <x:v>2420</x:v>
      </x:c>
      <x:c r="I12" s="106">
        <x:f>IF(G12&lt;&gt;"",G12/H12,"")</x:f>
        <x:v>1.8078512396694215</x:v>
      </x:c>
      <x:c r="J12" s="153">
        <x:v>5</x:v>
      </x:c>
      <x:c r="K12" s="107" t="str">
        <x:f>IF(C12&lt;&gt;"","완료","")</x:f>
        <x:v>완료</x:v>
      </x:c>
      <x:c r="L12" s="101"/>
      <x:c r="N12" s="101" t="s">
        <x:v>182</x:v>
      </x:c>
      <x:c r="O12" s="235" t="s">
        <x:v>180</x:v>
      </x:c>
      <x:c r="P12" s="235"/>
      <x:c r="Q12" s="235"/>
      <x:c r="R12" s="109"/>
    </x:row>
    <x:row r="13" spans="2:18" ht="19.5" customHeight="1">
      <x:c r="B13" s="133">
        <x:f>B12+1</x:f>
        <x:v>7</x:v>
      </x:c>
      <x:c r="C13" s="101">
        <x:v>5815</x:v>
      </x:c>
      <x:c r="D13" s="103">
        <x:v>8600</x:v>
      </x:c>
      <x:c r="E13" s="103">
        <x:v>12975</x:v>
      </x:c>
      <x:c r="F13" s="104" t="str">
        <x:f>IF(C13&lt;&gt;"",VLOOKUP(C13,명단!$C$4:$F$90,2,FALSE),"")</x:f>
        <x:v>김창수</x:v>
      </x:c>
      <x:c r="G13" s="105">
        <x:f>IF(E13="","",E13-D13)</x:f>
        <x:v>4375</x:v>
      </x:c>
      <x:c r="H13" s="105">
        <x:f>IF(G13&lt;&gt;"",$H$7,"")</x:f>
        <x:v>2420</x:v>
      </x:c>
      <x:c r="I13" s="106">
        <x:f>IF(G13&lt;&gt;"",G13/H13,"")</x:f>
        <x:v>1.8078512396694215</x:v>
      </x:c>
      <x:c r="J13" s="153">
        <x:v>5</x:v>
      </x:c>
      <x:c r="K13" s="107" t="str">
        <x:f>IF(C13&lt;&gt;"","완료","")</x:f>
        <x:v>완료</x:v>
      </x:c>
      <x:c r="L13" s="101"/>
      <x:c r="N13" s="101" t="s">
        <x:v>93</x:v>
      </x:c>
      <x:c r="O13" s="235" t="s">
        <x:v>82</x:v>
      </x:c>
      <x:c r="P13" s="235"/>
      <x:c r="Q13" s="235"/>
      <x:c r="R13" s="109"/>
    </x:row>
    <x:row r="14" spans="1:18" s="11" customFormat="1" ht="19.5" customHeight="1">
      <x:c r="A14" s="9"/>
      <x:c r="B14" s="133">
        <x:f>B13+1</x:f>
        <x:v>8</x:v>
      </x:c>
      <x:c r="C14" s="101">
        <x:v>4230</x:v>
      </x:c>
      <x:c r="D14" s="103">
        <x:v>8420</x:v>
      </x:c>
      <x:c r="E14" s="103">
        <x:v>12585</x:v>
      </x:c>
      <x:c r="F14" s="104" t="str">
        <x:f>IF(C14&lt;&gt;"",VLOOKUP(C14,명단!$C$4:$F$90,2,FALSE),"")</x:f>
        <x:v>김은석</x:v>
      </x:c>
      <x:c r="G14" s="105">
        <x:f>IF(E14="","",E14-D14)</x:f>
        <x:v>4165</x:v>
      </x:c>
      <x:c r="H14" s="105">
        <x:f>IF(G14&lt;&gt;"",$H$7,"")</x:f>
        <x:v>2420</x:v>
      </x:c>
      <x:c r="I14" s="106">
        <x:f>IF(G14&lt;&gt;"",G14/H14,"")</x:f>
        <x:v>1.7210743801652892</x:v>
      </x:c>
      <x:c r="J14" s="153">
        <x:v>5</x:v>
      </x:c>
      <x:c r="K14" s="107" t="str">
        <x:f>IF(C14&lt;&gt;"","완료","")</x:f>
        <x:v>완료</x:v>
      </x:c>
      <x:c r="L14" s="101"/>
      <x:c r="N14" s="101" t="s">
        <x:v>168</x:v>
      </x:c>
      <x:c r="O14" s="236">
        <x:f>VLOOKUP(O11,C7:I36,2,0)</x:f>
        <x:v>8915</x:v>
      </x:c>
      <x:c r="P14" s="237"/>
      <x:c r="Q14" s="111" t="s">
        <x:v>108</x:v>
      </x:c>
      <x:c r="R14" s="109"/>
    </x:row>
    <x:row r="15" spans="1:18" s="11" customFormat="1" ht="19.5" customHeight="1">
      <x:c r="A15" s="9"/>
      <x:c r="B15" s="133">
        <x:f>B14+1</x:f>
        <x:v>9</x:v>
      </x:c>
      <x:c r="C15" s="101">
        <x:v>1992</x:v>
      </x:c>
      <x:c r="D15" s="103">
        <x:v>8205</x:v>
      </x:c>
      <x:c r="E15" s="103">
        <x:v>12455</x:v>
      </x:c>
      <x:c r="F15" s="104" t="str">
        <x:f>IF(C15&lt;&gt;"",VLOOKUP(C15,명단!$C$4:$F$90,2,FALSE),"")</x:f>
        <x:v>왕상만</x:v>
      </x:c>
      <x:c r="G15" s="105">
        <x:f>IF(E15="","",E15-D15)</x:f>
        <x:v>4250</x:v>
      </x:c>
      <x:c r="H15" s="105">
        <x:f>IF(G15&lt;&gt;"",$H$7,"")</x:f>
        <x:v>2420</x:v>
      </x:c>
      <x:c r="I15" s="106">
        <x:f>IF(G15&lt;&gt;"",G15/H15,"")</x:f>
        <x:v>1.7561983471074381</x:v>
      </x:c>
      <x:c r="J15" s="153">
        <x:v>5</x:v>
      </x:c>
      <x:c r="K15" s="107" t="str">
        <x:f>IF(C15&lt;&gt;"","완료","")</x:f>
        <x:v>완료</x:v>
      </x:c>
      <x:c r="L15" s="101"/>
      <x:c r="N15" s="101" t="s">
        <x:v>149</x:v>
      </x:c>
      <x:c r="O15" s="236">
        <x:f>VLOOKUP(O11,C7:I36,3,0)</x:f>
        <x:v>13135</x:v>
      </x:c>
      <x:c r="P15" s="237"/>
      <x:c r="Q15" s="112" t="s">
        <x:v>108</x:v>
      </x:c>
      <x:c r="R15" s="109"/>
    </x:row>
    <x:row r="16" spans="1:18" s="11" customFormat="1" ht="19.5" customHeight="1">
      <x:c r="A16" s="9"/>
      <x:c r="B16" s="133">
        <x:f>B15+1</x:f>
        <x:v>10</x:v>
      </x:c>
      <x:c r="C16" s="101">
        <x:v>5957</x:v>
      </x:c>
      <x:c r="D16" s="103">
        <x:v>8685</x:v>
      </x:c>
      <x:c r="E16" s="103">
        <x:v>12865</x:v>
      </x:c>
      <x:c r="F16" s="104" t="str">
        <x:f>IF(C16&lt;&gt;"",VLOOKUP(C16,명단!$C$4:$F$90,2,FALSE),"")</x:f>
        <x:v>박현수</x:v>
      </x:c>
      <x:c r="G16" s="105">
        <x:f>IF(E16="","",E16-D16)</x:f>
        <x:v>4180</x:v>
      </x:c>
      <x:c r="H16" s="105">
        <x:f>IF(G16&lt;&gt;"",$H$7,"")</x:f>
        <x:v>2420</x:v>
      </x:c>
      <x:c r="I16" s="106">
        <x:f>IF(G16&lt;&gt;"",G16/H16,"")</x:f>
        <x:v>1.7272727272727273</x:v>
      </x:c>
      <x:c r="J16" s="153">
        <x:v>5</x:v>
      </x:c>
      <x:c r="K16" s="107" t="str">
        <x:f>IF(C16&lt;&gt;"","완료","")</x:f>
        <x:v>완료</x:v>
      </x:c>
      <x:c r="L16" s="101"/>
      <x:c r="N16" s="101" t="s">
        <x:v>145</x:v>
      </x:c>
      <x:c r="O16" s="236">
        <x:f>VLOOKUP(O11,C7:I36,5,0)</x:f>
        <x:v>4220</x:v>
      </x:c>
      <x:c r="P16" s="237"/>
      <x:c r="Q16" s="112" t="s">
        <x:v>108</x:v>
      </x:c>
      <x:c r="R16" s="109"/>
    </x:row>
    <x:row r="17" spans="1:18" s="11" customFormat="1" ht="19.5" customHeight="1">
      <x:c r="A17" s="9"/>
      <x:c r="B17" s="133">
        <x:f>B16+1</x:f>
        <x:v>11</x:v>
      </x:c>
      <x:c r="C17" s="101">
        <x:v>6456</x:v>
      </x:c>
      <x:c r="D17" s="103">
        <x:v>8620</x:v>
      </x:c>
      <x:c r="E17" s="103">
        <x:v>12840</x:v>
      </x:c>
      <x:c r="F17" s="104" t="str">
        <x:f>IF(C17&lt;&gt;"",VLOOKUP(C17,명단!$C$4:$F$90,2,FALSE),"")</x:f>
        <x:v>임재경</x:v>
      </x:c>
      <x:c r="G17" s="105">
        <x:f>IF(E17="","",E17-D17)</x:f>
        <x:v>4220</x:v>
      </x:c>
      <x:c r="H17" s="105">
        <x:f>IF(G17&lt;&gt;"",$H$7,"")</x:f>
        <x:v>2420</x:v>
      </x:c>
      <x:c r="I17" s="106">
        <x:f>IF(G17&lt;&gt;"",G17/H17,"")</x:f>
        <x:v>1.7438016528925619</x:v>
      </x:c>
      <x:c r="J17" s="153">
        <x:v>5</x:v>
      </x:c>
      <x:c r="K17" s="107" t="str">
        <x:f>IF(C17&lt;&gt;"","완료","")</x:f>
        <x:v>완료</x:v>
      </x:c>
      <x:c r="L17" s="101"/>
      <x:c r="N17" s="101" t="s">
        <x:v>104</x:v>
      </x:c>
      <x:c r="O17" s="238">
        <x:f>VLOOKUP(O11,C7:I36,7,0)</x:f>
        <x:v>1.7438016528925619</x:v>
      </x:c>
      <x:c r="P17" s="239"/>
      <x:c r="Q17" s="113" t="s">
        <x:v>108</x:v>
      </x:c>
      <x:c r="R17" s="109"/>
    </x:row>
    <x:row r="18" spans="1:18" s="11" customFormat="1" ht="19.5" customHeight="1">
      <x:c r="A18" s="9"/>
      <x:c r="B18" s="133">
        <x:f>B17+1</x:f>
        <x:v>12</x:v>
      </x:c>
      <x:c r="C18" s="101">
        <x:v>2504</x:v>
      </x:c>
      <x:c r="D18" s="103">
        <x:v>8610</x:v>
      </x:c>
      <x:c r="E18" s="103">
        <x:v>12840</x:v>
      </x:c>
      <x:c r="F18" s="104" t="str">
        <x:f>IF(C18&lt;&gt;"",VLOOKUP(C18,명단!$C$4:$F$90,2,FALSE),"")</x:f>
        <x:v>김법규</x:v>
      </x:c>
      <x:c r="G18" s="105">
        <x:f>IF(E18="","",E18-D18)</x:f>
        <x:v>4230</x:v>
      </x:c>
      <x:c r="H18" s="105">
        <x:f>IF(G18&lt;&gt;"",$H$7,"")</x:f>
        <x:v>2420</x:v>
      </x:c>
      <x:c r="I18" s="106">
        <x:f>IF(G18&lt;&gt;"",G18/H18,"")</x:f>
        <x:v>1.7479338842975207</x:v>
      </x:c>
      <x:c r="J18" s="153">
        <x:v>5</x:v>
      </x:c>
      <x:c r="K18" s="107" t="str">
        <x:f>IF(C18&lt;&gt;"","완료","")</x:f>
        <x:v>완료</x:v>
      </x:c>
      <x:c r="L18" s="101"/>
      <x:c r="N18" s="114" t="s">
        <x:v>75</x:v>
      </x:c>
      <x:c r="O18" s="236">
        <x:f>VLOOKUP(O11,C7:I36,6,0)</x:f>
        <x:v>2420</x:v>
      </x:c>
      <x:c r="P18" s="237"/>
      <x:c r="Q18" s="112" t="s">
        <x:v>59</x:v>
      </x:c>
      <x:c r="R18" s="109"/>
    </x:row>
    <x:row r="19" spans="1:18" s="11" customFormat="1" ht="19.5" customHeight="1">
      <x:c r="A19" s="9"/>
      <x:c r="B19" s="133">
        <x:f>B18+1</x:f>
        <x:v>13</x:v>
      </x:c>
      <x:c r="C19" s="101">
        <x:v>8712</x:v>
      </x:c>
      <x:c r="D19" s="103">
        <x:v>8380</x:v>
      </x:c>
      <x:c r="E19" s="103">
        <x:v>12680</x:v>
      </x:c>
      <x:c r="F19" s="104" t="str">
        <x:f>IF(C19&lt;&gt;"",VLOOKUP(C19,명단!$C$4:$F$90,2,FALSE),"")</x:f>
        <x:v>임종웅</x:v>
      </x:c>
      <x:c r="G19" s="105">
        <x:f>IF(E19="","",E19-D19)</x:f>
        <x:v>4300</x:v>
      </x:c>
      <x:c r="H19" s="105">
        <x:f>IF(G19&lt;&gt;"",$H$7,"")</x:f>
        <x:v>2420</x:v>
      </x:c>
      <x:c r="I19" s="106">
        <x:f>IF(G19&lt;&gt;"",G19/H19,"")</x:f>
        <x:v>1.7768595041322315</x:v>
      </x:c>
      <x:c r="J19" s="153">
        <x:v>3</x:v>
      </x:c>
      <x:c r="K19" s="107" t="str">
        <x:f>IF(C19&lt;&gt;"","완료","")</x:f>
        <x:v>완료</x:v>
      </x:c>
      <x:c r="L19" s="101"/>
      <x:c r="N19" s="115"/>
      <x:c r="O19" s="116"/>
      <x:c r="P19" s="116"/>
      <x:c r="Q19" s="117"/>
      <x:c r="R19" s="100"/>
    </x:row>
    <x:row r="20" spans="1:18" s="11" customFormat="1" ht="19.5" customHeight="1">
      <x:c r="A20" s="9"/>
      <x:c r="B20" s="133">
        <x:f>B19+1</x:f>
        <x:v>14</x:v>
      </x:c>
      <x:c r="C20" s="101">
        <x:v>5879</x:v>
      </x:c>
      <x:c r="D20" s="103">
        <x:v>8340</x:v>
      </x:c>
      <x:c r="E20" s="103">
        <x:v>12665</x:v>
      </x:c>
      <x:c r="F20" s="104" t="str">
        <x:f>IF(C20&lt;&gt;"",VLOOKUP(C20,명단!$C$4:$F$90,2,FALSE),"")</x:f>
        <x:v>김기욱</x:v>
      </x:c>
      <x:c r="G20" s="105">
        <x:f>IF(E20="","",E20-D20)</x:f>
        <x:v>4325</x:v>
      </x:c>
      <x:c r="H20" s="105">
        <x:f>IF(G20&lt;&gt;"",$H$7,"")</x:f>
        <x:v>2420</x:v>
      </x:c>
      <x:c r="I20" s="106">
        <x:f>IF(G20&lt;&gt;"",G20/H20,"")</x:f>
        <x:v>1.7871900826446281</x:v>
      </x:c>
      <x:c r="J20" s="153">
        <x:v>3</x:v>
      </x:c>
      <x:c r="K20" s="107" t="str">
        <x:f>IF(C20&lt;&gt;"","완료","")</x:f>
        <x:v>완료</x:v>
      </x:c>
      <x:c r="L20" s="101"/>
      <x:c r="N20" s="240" t="s">
        <x:v>198</x:v>
      </x:c>
      <x:c r="O20" s="241"/>
      <x:c r="P20" s="241"/>
      <x:c r="Q20" s="242"/>
      <x:c r="R20" s="118"/>
    </x:row>
    <x:row r="21" spans="1:18" s="11" customFormat="1" ht="19.5" customHeight="1">
      <x:c r="A21" s="9"/>
      <x:c r="B21" s="133">
        <x:f>B20+1</x:f>
        <x:v>15</x:v>
      </x:c>
      <x:c r="C21" s="101">
        <x:v>5749</x:v>
      </x:c>
      <x:c r="D21" s="103">
        <x:v>8565</x:v>
      </x:c>
      <x:c r="E21" s="103">
        <x:v>13015</x:v>
      </x:c>
      <x:c r="F21" s="104" t="str">
        <x:f>IF(C21&lt;&gt;"",VLOOKUP(C21,명단!$C$4:$F$90,2,FALSE),"")</x:f>
        <x:v>양충환</x:v>
      </x:c>
      <x:c r="G21" s="105">
        <x:f>IF(E21="","",E21-D21)</x:f>
        <x:v>4450</x:v>
      </x:c>
      <x:c r="H21" s="105">
        <x:f>IF(G21&lt;&gt;"",$H$7,"")</x:f>
        <x:v>2420</x:v>
      </x:c>
      <x:c r="I21" s="106">
        <x:f>IF(G21&lt;&gt;"",G21/H21,"")</x:f>
        <x:v>1.8388429752066116</x:v>
      </x:c>
      <x:c r="J21" s="153">
        <x:v>3</x:v>
      </x:c>
      <x:c r="K21" s="107" t="str">
        <x:f>IF(C21&lt;&gt;"","완료","")</x:f>
        <x:v>완료</x:v>
      </x:c>
      <x:c r="L21" s="101"/>
      <x:c r="N21" s="119"/>
      <x:c r="O21" s="88"/>
      <x:c r="P21" s="88"/>
      <x:c r="Q21" s="120"/>
      <x:c r="R21" s="121"/>
    </x:row>
    <x:row r="22" spans="1:18" s="11" customFormat="1" ht="19.5" customHeight="1">
      <x:c r="A22" s="9"/>
      <x:c r="B22" s="133">
        <x:f>B21+1</x:f>
        <x:v>16</x:v>
      </x:c>
      <x:c r="C22" s="101">
        <x:v>4451</x:v>
      </x:c>
      <x:c r="D22" s="103">
        <x:v>8470</x:v>
      </x:c>
      <x:c r="E22" s="103">
        <x:v>12890</x:v>
      </x:c>
      <x:c r="F22" s="104" t="str">
        <x:f>IF(C22&lt;&gt;"",VLOOKUP(C22,명단!$C$4:$F$90,2,FALSE),"")</x:f>
        <x:v>차동준</x:v>
      </x:c>
      <x:c r="G22" s="105">
        <x:f>IF(E22="","",E22-D22)</x:f>
        <x:v>4420</x:v>
      </x:c>
      <x:c r="H22" s="105">
        <x:f>IF(G22&lt;&gt;"",$H$7,"")</x:f>
        <x:v>2420</x:v>
      </x:c>
      <x:c r="I22" s="106">
        <x:f>IF(G22&lt;&gt;"",G22/H22,"")</x:f>
        <x:v>1.8264462809917354</x:v>
      </x:c>
      <x:c r="J22" s="153">
        <x:v>3</x:v>
      </x:c>
      <x:c r="K22" s="107" t="str">
        <x:f>IF(C22&lt;&gt;"","완료","")</x:f>
        <x:v>완료</x:v>
      </x:c>
      <x:c r="L22" s="101"/>
      <x:c r="N22" s="243" t="s">
        <x:v>140</x:v>
      </x:c>
      <x:c r="O22" s="244"/>
      <x:c r="P22" s="244"/>
      <x:c r="Q22" s="245"/>
      <x:c r="R22" s="89"/>
    </x:row>
    <x:row r="23" spans="1:18" s="11" customFormat="1" ht="19.5" customHeight="1">
      <x:c r="A23" s="9"/>
      <x:c r="B23" s="133">
        <x:f>B22+1</x:f>
        <x:v>17</x:v>
      </x:c>
      <x:c r="C23" s="101">
        <x:v>5880</x:v>
      </x:c>
      <x:c r="D23" s="103">
        <x:v>8760</x:v>
      </x:c>
      <x:c r="E23" s="103">
        <x:v>13205</x:v>
      </x:c>
      <x:c r="F23" s="104" t="str">
        <x:f>IF(C23&lt;&gt;"",VLOOKUP(C23,명단!$C$4:$F$90,2,FALSE),"")</x:f>
        <x:v>최장열</x:v>
      </x:c>
      <x:c r="G23" s="105">
        <x:f>IF(E23="","",E23-D23)</x:f>
        <x:v>4445</x:v>
      </x:c>
      <x:c r="H23" s="105">
        <x:f>IF(G23&lt;&gt;"",$H$7,"")</x:f>
        <x:v>2420</x:v>
      </x:c>
      <x:c r="I23" s="106">
        <x:f>IF(G23&lt;&gt;"",G23/H23,"")</x:f>
        <x:v>1.8367768595041323</x:v>
      </x:c>
      <x:c r="J23" s="153">
        <x:v>3</x:v>
      </x:c>
      <x:c r="K23" s="107" t="str">
        <x:f>IF(C23&lt;&gt;"","완료","")</x:f>
        <x:v>완료</x:v>
      </x:c>
      <x:c r="L23" s="101"/>
      <x:c r="N23" s="122"/>
      <x:c r="O23" s="87"/>
      <x:c r="P23" s="87"/>
      <x:c r="Q23" s="123"/>
      <x:c r="R23" s="121"/>
    </x:row>
    <x:row r="24" spans="1:18" s="11" customFormat="1" ht="19.5" customHeight="1">
      <x:c r="A24" s="9"/>
      <x:c r="B24" s="133">
        <x:f>B23+1</x:f>
        <x:v>18</x:v>
      </x:c>
      <x:c r="C24" s="101">
        <x:v>1027</x:v>
      </x:c>
      <x:c r="D24" s="103">
        <x:v>8270</x:v>
      </x:c>
      <x:c r="E24" s="103">
        <x:v>12560</x:v>
      </x:c>
      <x:c r="F24" s="104" t="str">
        <x:f>IF(C24&lt;&gt;"",VLOOKUP(C24,명단!$C$4:$F$90,2,FALSE),"")</x:f>
        <x:v>안자현</x:v>
      </x:c>
      <x:c r="G24" s="105">
        <x:f>IF(E24="","",E24-D24)</x:f>
        <x:v>4290</x:v>
      </x:c>
      <x:c r="H24" s="105">
        <x:f>IF(G24&lt;&gt;"",$H$7,"")</x:f>
        <x:v>2420</x:v>
      </x:c>
      <x:c r="I24" s="106">
        <x:f>IF(G24&lt;&gt;"",G24/H24,"")</x:f>
        <x:v>1.7727272727272727</x:v>
      </x:c>
      <x:c r="J24" s="153">
        <x:v>3</x:v>
      </x:c>
      <x:c r="K24" s="107" t="str">
        <x:f>IF(C24&lt;&gt;"","완료","")</x:f>
        <x:v>완료</x:v>
      </x:c>
      <x:c r="L24" s="101"/>
      <x:c r="N24" s="240" t="s">
        <x:v>2</x:v>
      </x:c>
      <x:c r="O24" s="241"/>
      <x:c r="P24" s="241"/>
      <x:c r="Q24" s="242"/>
      <x:c r="R24" s="118"/>
    </x:row>
    <x:row r="25" spans="1:18" s="11" customFormat="1" ht="19.5" customHeight="1">
      <x:c r="A25" s="9"/>
      <x:c r="B25" s="133">
        <x:f>B24+1</x:f>
        <x:v>19</x:v>
      </x:c>
      <x:c r="C25" s="101">
        <x:v>4510</x:v>
      </x:c>
      <x:c r="D25" s="103">
        <x:v>8950</x:v>
      </x:c>
      <x:c r="E25" s="103">
        <x:v>13295</x:v>
      </x:c>
      <x:c r="F25" s="104" t="str">
        <x:f>IF(C25&lt;&gt;"",VLOOKUP(C25,명단!$C$4:$F$90,2,FALSE),"")</x:f>
        <x:v>심우철</x:v>
      </x:c>
      <x:c r="G25" s="105">
        <x:f>IF(E25="","",E25-D25)</x:f>
        <x:v>4345</x:v>
      </x:c>
      <x:c r="H25" s="105">
        <x:f>IF(G25&lt;&gt;"",$H$7,"")</x:f>
        <x:v>2420</x:v>
      </x:c>
      <x:c r="I25" s="106">
        <x:f>IF(G25&lt;&gt;"",G25/H25,"")</x:f>
        <x:v>1.7954545454545454</x:v>
      </x:c>
      <x:c r="J25" s="153">
        <x:v>3</x:v>
      </x:c>
      <x:c r="K25" s="107" t="str">
        <x:f>IF(C25&lt;&gt;"","완료","")</x:f>
        <x:v>완료</x:v>
      </x:c>
      <x:c r="L25" s="101"/>
      <x:c r="N25" s="124"/>
      <x:c r="O25" s="118"/>
      <x:c r="P25" s="118"/>
      <x:c r="Q25" s="125"/>
      <x:c r="R25" s="118"/>
    </x:row>
    <x:row r="26" spans="1:18" s="11" customFormat="1" ht="19.5" customHeight="1">
      <x:c r="A26" s="9"/>
      <x:c r="B26" s="133">
        <x:f>B25+1</x:f>
        <x:v>20</x:v>
      </x:c>
      <x:c r="C26" s="101">
        <x:v>7000</x:v>
      </x:c>
      <x:c r="D26" s="103">
        <x:v>8775</x:v>
      </x:c>
      <x:c r="E26" s="103">
        <x:v>12925</x:v>
      </x:c>
      <x:c r="F26" s="104" t="str">
        <x:f>IF(C26&lt;&gt;"",VLOOKUP(C26,명단!$C$4:$F$90,2,FALSE),"")</x:f>
        <x:v>허창영</x:v>
      </x:c>
      <x:c r="G26" s="105">
        <x:f>IF(E26="","",E26-D26)</x:f>
        <x:v>4150</x:v>
      </x:c>
      <x:c r="H26" s="105">
        <x:f>IF(G26&lt;&gt;"",$H$7,"")</x:f>
        <x:v>2420</x:v>
      </x:c>
      <x:c r="I26" s="106">
        <x:f>IF(G26&lt;&gt;"",G26/H26,"")</x:f>
        <x:v>1.7148760330578512</x:v>
      </x:c>
      <x:c r="J26" s="153">
        <x:v>3</x:v>
      </x:c>
      <x:c r="K26" s="107" t="str">
        <x:f>IF(C26&lt;&gt;"","완료","")</x:f>
        <x:v>완료</x:v>
      </x:c>
      <x:c r="L26" s="101"/>
      <x:c r="N26" s="240" t="s">
        <x:v>134</x:v>
      </x:c>
      <x:c r="O26" s="241"/>
      <x:c r="P26" s="241"/>
      <x:c r="Q26" s="242"/>
      <x:c r="R26" s="118"/>
    </x:row>
    <x:row r="27" spans="1:18" s="11" customFormat="1" ht="19.5" customHeight="1">
      <x:c r="A27" s="9"/>
      <x:c r="B27" s="133">
        <x:f>B26+1</x:f>
        <x:v>21</x:v>
      </x:c>
      <x:c r="C27" s="101">
        <x:v>5920</x:v>
      </x:c>
      <x:c r="D27" s="103">
        <x:v>8525</x:v>
      </x:c>
      <x:c r="E27" s="103">
        <x:v>12825</x:v>
      </x:c>
      <x:c r="F27" s="104" t="str">
        <x:f>IF(C27&lt;&gt;"",VLOOKUP(C27,명단!$C$4:$F$90,2,FALSE),"")</x:f>
        <x:v>유후근</x:v>
      </x:c>
      <x:c r="G27" s="105">
        <x:f>IF(E27="","",E27-D27)</x:f>
        <x:v>4300</x:v>
      </x:c>
      <x:c r="H27" s="105">
        <x:f>IF(G27&lt;&gt;"",$H$7,"")</x:f>
        <x:v>2420</x:v>
      </x:c>
      <x:c r="I27" s="106">
        <x:f>IF(G27&lt;&gt;"",G27/H27,"")</x:f>
        <x:v>1.7768595041322315</x:v>
      </x:c>
      <x:c r="J27" s="153">
        <x:v>3</x:v>
      </x:c>
      <x:c r="K27" s="107" t="str">
        <x:f>IF(C27&lt;&gt;"","완료","")</x:f>
        <x:v>완료</x:v>
      </x:c>
      <x:c r="L27" s="101"/>
      <x:c r="N27" s="126"/>
      <x:c r="O27" s="127"/>
      <x:c r="P27" s="127"/>
      <x:c r="Q27" s="128"/>
      <x:c r="R27" s="121"/>
    </x:row>
    <x:row r="28" spans="1:18" s="11" customFormat="1" ht="19.5" customHeight="1">
      <x:c r="A28" s="9"/>
      <x:c r="B28" s="133">
        <x:f>B27+1</x:f>
        <x:v>22</x:v>
      </x:c>
      <x:c r="C28" s="101">
        <x:v>4156</x:v>
      </x:c>
      <x:c r="D28" s="103">
        <x:v>8565</x:v>
      </x:c>
      <x:c r="E28" s="103">
        <x:v>12705</x:v>
      </x:c>
      <x:c r="F28" s="104" t="str">
        <x:f>IF(C28&lt;&gt;"",VLOOKUP(C28,명단!$C$4:$F$90,2,FALSE),"")</x:f>
        <x:v>배승순</x:v>
      </x:c>
      <x:c r="G28" s="105">
        <x:f>IF(E28="","",E28-D28)</x:f>
        <x:v>4140</x:v>
      </x:c>
      <x:c r="H28" s="105">
        <x:f>IF(G28&lt;&gt;"",$H$7,"")</x:f>
        <x:v>2420</x:v>
      </x:c>
      <x:c r="I28" s="106">
        <x:f>IF(G28&lt;&gt;"",G28/H28,"")</x:f>
        <x:v>1.7107438016528926</x:v>
      </x:c>
      <x:c r="J28" s="153">
        <x:v>3</x:v>
      </x:c>
      <x:c r="K28" s="107" t="str">
        <x:f>IF(C28&lt;&gt;"","완료","")</x:f>
        <x:v>완료</x:v>
      </x:c>
      <x:c r="L28" s="101"/>
      <x:c r="N28" s="3"/>
      <x:c r="O28" s="3"/>
      <x:c r="P28" s="3"/>
      <x:c r="Q28" s="3"/>
      <x:c r="R28" s="100"/>
    </x:row>
    <x:row r="29" spans="1:18" s="11" customFormat="1" ht="19.5" customHeight="1">
      <x:c r="A29" s="9"/>
      <x:c r="B29" s="133">
        <x:f>B28+1</x:f>
        <x:v>23</x:v>
      </x:c>
      <x:c r="C29" s="101">
        <x:v>9427</x:v>
      </x:c>
      <x:c r="D29" s="103">
        <x:v>8325</x:v>
      </x:c>
      <x:c r="E29" s="103">
        <x:v>12570</x:v>
      </x:c>
      <x:c r="F29" s="104" t="str">
        <x:f>IF(C29&lt;&gt;"",VLOOKUP(C29,명단!$C$4:$F$90,2,FALSE),"")</x:f>
        <x:v>원해종</x:v>
      </x:c>
      <x:c r="G29" s="105">
        <x:f>IF(E29="","",E29-D29)</x:f>
        <x:v>4245</x:v>
      </x:c>
      <x:c r="H29" s="105">
        <x:f>IF(G29&lt;&gt;"",$H$7,"")</x:f>
        <x:v>2420</x:v>
      </x:c>
      <x:c r="I29" s="106">
        <x:f>IF(G29&lt;&gt;"",G29/H29,"")</x:f>
        <x:v>1.7541322314049588</x:v>
      </x:c>
      <x:c r="J29" s="153">
        <x:v>3</x:v>
      </x:c>
      <x:c r="K29" s="107" t="str">
        <x:f>IF(C29&lt;&gt;"","완료","")</x:f>
        <x:v>완료</x:v>
      </x:c>
      <x:c r="L29" s="101"/>
      <x:c r="R29" s="100"/>
    </x:row>
    <x:row r="30" spans="1:18" s="11" customFormat="1" ht="19.5" customHeight="1">
      <x:c r="A30" s="9"/>
      <x:c r="B30" s="133">
        <x:f>B29+1</x:f>
        <x:v>24</x:v>
      </x:c>
      <x:c r="C30" s="101">
        <x:v>1041</x:v>
      </x:c>
      <x:c r="D30" s="103">
        <x:v>8445</x:v>
      </x:c>
      <x:c r="E30" s="103">
        <x:v>12680</x:v>
      </x:c>
      <x:c r="F30" s="104" t="str">
        <x:f>IF(C30&lt;&gt;"",VLOOKUP(C30,명단!$C$4:$F$90,2,FALSE),"")</x:f>
        <x:v>이승준</x:v>
      </x:c>
      <x:c r="G30" s="105">
        <x:f>IF(E30="","",E30-D30)</x:f>
        <x:v>4235</x:v>
      </x:c>
      <x:c r="H30" s="105">
        <x:f>IF(G30&lt;&gt;"",$H$7,"")</x:f>
        <x:v>2420</x:v>
      </x:c>
      <x:c r="I30" s="106">
        <x:f>IF(G30&lt;&gt;"",G30/H30,"")</x:f>
        <x:v>1.75</x:v>
      </x:c>
      <x:c r="J30" s="153">
        <x:v>3</x:v>
      </x:c>
      <x:c r="K30" s="107" t="str">
        <x:f>IF(C30&lt;&gt;"","완료","")</x:f>
        <x:v>완료</x:v>
      </x:c>
      <x:c r="L30" s="101"/>
      <x:c r="R30" s="89"/>
    </x:row>
    <x:row r="31" spans="1:18" s="11" customFormat="1" ht="19.5" customHeight="1">
      <x:c r="A31" s="9"/>
      <x:c r="B31" s="133">
        <x:f>B30+1</x:f>
        <x:v>25</x:v>
      </x:c>
      <x:c r="C31" s="101">
        <x:v>5619</x:v>
      </x:c>
      <x:c r="D31" s="103">
        <x:v>9070</x:v>
      </x:c>
      <x:c r="E31" s="103">
        <x:v>13325</x:v>
      </x:c>
      <x:c r="F31" s="104" t="str">
        <x:f>IF(C31&lt;&gt;"",VLOOKUP(C31,명단!$C$4:$F$90,2,FALSE),"")</x:f>
        <x:v>송승원</x:v>
      </x:c>
      <x:c r="G31" s="105">
        <x:f>IF(E31="","",E31-D31)</x:f>
        <x:v>4255</x:v>
      </x:c>
      <x:c r="H31" s="105">
        <x:f>IF(G31&lt;&gt;"",$H$7,"")</x:f>
        <x:v>2420</x:v>
      </x:c>
      <x:c r="I31" s="106">
        <x:f>IF(G31&lt;&gt;"",G31/H31,"")</x:f>
        <x:v>1.7582644628099173</x:v>
      </x:c>
      <x:c r="J31" s="153">
        <x:v>6</x:v>
      </x:c>
      <x:c r="K31" s="107" t="str">
        <x:f>IF(C31&lt;&gt;"","완료","")</x:f>
        <x:v>완료</x:v>
      </x:c>
      <x:c r="L31" s="101"/>
      <x:c r="R31" s="89"/>
    </x:row>
    <x:row r="32" spans="2:12" ht="21" customHeight="1">
      <x:c r="B32" s="133">
        <x:f>B31+1</x:f>
        <x:v>26</x:v>
      </x:c>
      <x:c r="C32" s="101">
        <x:v>3385</x:v>
      </x:c>
      <x:c r="D32" s="103">
        <x:v>8515</x:v>
      </x:c>
      <x:c r="E32" s="103">
        <x:v>12795</x:v>
      </x:c>
      <x:c r="F32" s="104" t="str">
        <x:f>IF(C32&lt;&gt;"",VLOOKUP(C32,명단!$C$4:$F$90,2,FALSE),"")</x:f>
        <x:v>이종래</x:v>
      </x:c>
      <x:c r="G32" s="105">
        <x:f>IF(E32="","",E32-D32)</x:f>
        <x:v>4280</x:v>
      </x:c>
      <x:c r="H32" s="105">
        <x:f>IF(G32&lt;&gt;"",$H$7,"")</x:f>
        <x:v>2420</x:v>
      </x:c>
      <x:c r="I32" s="106">
        <x:f>IF(G32&lt;&gt;"",G32/H32,"")</x:f>
        <x:v>1.7685950413223142</x:v>
      </x:c>
      <x:c r="J32" s="153">
        <x:v>6</x:v>
      </x:c>
      <x:c r="K32" s="107" t="str">
        <x:f>IF(C32&lt;&gt;"","완료","")</x:f>
        <x:v>완료</x:v>
      </x:c>
      <x:c r="L32" s="101"/>
    </x:row>
    <x:row r="33" spans="2:12" ht="19.5" customHeight="1">
      <x:c r="B33" s="133">
        <x:f>B32+1</x:f>
        <x:v>27</x:v>
      </x:c>
      <x:c r="C33" s="101">
        <x:v>3447</x:v>
      </x:c>
      <x:c r="D33" s="103">
        <x:v>8450</x:v>
      </x:c>
      <x:c r="E33" s="103">
        <x:v>12690</x:v>
      </x:c>
      <x:c r="F33" s="104" t="str">
        <x:f>IF(C33&lt;&gt;"",VLOOKUP(C33,명단!$C$4:$F$90,2,FALSE),"")</x:f>
        <x:v>전봉근</x:v>
      </x:c>
      <x:c r="G33" s="105">
        <x:f>IF(E33="","",E33-D33)</x:f>
        <x:v>4240</x:v>
      </x:c>
      <x:c r="H33" s="105">
        <x:f>IF(G33&lt;&gt;"",$H$7,"")</x:f>
        <x:v>2420</x:v>
      </x:c>
      <x:c r="I33" s="106">
        <x:f>IF(G33&lt;&gt;"",G33/H33,"")</x:f>
        <x:v>1.7520661157024793</x:v>
      </x:c>
      <x:c r="J33" s="153">
        <x:v>6</x:v>
      </x:c>
      <x:c r="K33" s="107" t="str">
        <x:f>IF(C33&lt;&gt;"","완료","")</x:f>
        <x:v>완료</x:v>
      </x:c>
      <x:c r="L33" s="101"/>
    </x:row>
    <x:row r="34" spans="2:12" ht="19.5" customHeight="1">
      <x:c r="B34" s="133">
        <x:f>B33+1</x:f>
        <x:v>28</x:v>
      </x:c>
      <x:c r="C34" s="101">
        <x:v>5970</x:v>
      </x:c>
      <x:c r="D34" s="103">
        <x:v>8550</x:v>
      </x:c>
      <x:c r="E34" s="103">
        <x:v>12775</x:v>
      </x:c>
      <x:c r="F34" s="104" t="str">
        <x:f>IF(C34&lt;&gt;"",VLOOKUP(C34,명단!$C$4:$F$90,2,FALSE),"")</x:f>
        <x:v>유성희</x:v>
      </x:c>
      <x:c r="G34" s="105">
        <x:f>IF(E34="","",E34-D34)</x:f>
        <x:v>4225</x:v>
      </x:c>
      <x:c r="H34" s="105">
        <x:f>IF(G34&lt;&gt;"",$H$7,"")</x:f>
        <x:v>2420</x:v>
      </x:c>
      <x:c r="I34" s="106">
        <x:f>IF(G34&lt;&gt;"",G34/H34,"")</x:f>
        <x:v>1.7458677685950412</x:v>
      </x:c>
      <x:c r="J34" s="153">
        <x:v>6</x:v>
      </x:c>
      <x:c r="K34" s="107" t="str">
        <x:f>IF(C34&lt;&gt;"","완료","")</x:f>
        <x:v>완료</x:v>
      </x:c>
      <x:c r="L34" s="101"/>
    </x:row>
    <x:row r="35" spans="1:18" s="11" customFormat="1" ht="19.5" customHeight="1">
      <x:c r="A35" s="9"/>
      <x:c r="B35" s="133">
        <x:f>B34+1</x:f>
        <x:v>29</x:v>
      </x:c>
      <x:c r="C35" s="101">
        <x:v>4550</x:v>
      </x:c>
      <x:c r="D35" s="103">
        <x:v>7900</x:v>
      </x:c>
      <x:c r="E35" s="103">
        <x:v>12140</x:v>
      </x:c>
      <x:c r="F35" s="104" t="str">
        <x:f>IF(C35&lt;&gt;"",VLOOKUP(C35,명단!$C$4:$F$90,2,FALSE),"")</x:f>
        <x:v>윤장열</x:v>
      </x:c>
      <x:c r="G35" s="105">
        <x:f>IF(E35="","",E35-D35)</x:f>
        <x:v>4240</x:v>
      </x:c>
      <x:c r="H35" s="105">
        <x:f>IF(G35&lt;&gt;"",$H$7,"")</x:f>
        <x:v>2420</x:v>
      </x:c>
      <x:c r="I35" s="106">
        <x:f>IF(G35&lt;&gt;"",G35/H35,"")</x:f>
        <x:v>1.7520661157024793</x:v>
      </x:c>
      <x:c r="J35" s="153">
        <x:v>6</x:v>
      </x:c>
      <x:c r="K35" s="107" t="str">
        <x:f>IF(C35&lt;&gt;"","완료","")</x:f>
        <x:v>완료</x:v>
      </x:c>
      <x:c r="L35" s="101"/>
      <x:c r="R35" s="89"/>
    </x:row>
    <x:row r="36" spans="1:18" s="11" customFormat="1" ht="19.5" customHeight="1">
      <x:c r="A36" s="9"/>
      <x:c r="B36" s="133">
        <x:f>B35+1</x:f>
        <x:v>30</x:v>
      </x:c>
      <x:c r="C36" s="101">
        <x:v>4109</x:v>
      </x:c>
      <x:c r="D36" s="103">
        <x:v>8915</x:v>
      </x:c>
      <x:c r="E36" s="103">
        <x:v>13135</x:v>
      </x:c>
      <x:c r="F36" s="104" t="str">
        <x:f>IF(C36&lt;&gt;"",VLOOKUP(C36,명단!$C$4:$F$90,2,FALSE),"")</x:f>
        <x:v>장성조</x:v>
      </x:c>
      <x:c r="G36" s="105">
        <x:f>IF(E36="","",E36-D36)</x:f>
        <x:v>4220</x:v>
      </x:c>
      <x:c r="H36" s="105">
        <x:f>IF(G36&lt;&gt;"",$H$7,"")</x:f>
        <x:v>2420</x:v>
      </x:c>
      <x:c r="I36" s="106">
        <x:f>IF(G36&lt;&gt;"",G36/H36,"")</x:f>
        <x:v>1.7438016528925619</x:v>
      </x:c>
      <x:c r="J36" s="153">
        <x:v>6</x:v>
      </x:c>
      <x:c r="K36" s="107" t="str">
        <x:f>IF(C36&lt;&gt;"","완료","")</x:f>
        <x:v>완료</x:v>
      </x:c>
      <x:c r="L36" s="101"/>
      <x:c r="R36" s="89"/>
    </x:row>
    <x:row r="37" spans="2:12" ht="19.5" customHeight="1">
      <x:c r="B37" s="133" t="s">
        <x:v>15</x:v>
      </x:c>
      <x:c r="C37" s="133"/>
      <x:c r="D37" s="133"/>
      <x:c r="E37" s="133"/>
      <x:c r="F37" s="133"/>
      <x:c r="G37" s="135">
        <x:f>SUM(G7:G36)</x:f>
        <x:v>128920</x:v>
      </x:c>
      <x:c r="H37" s="135">
        <x:f>SUM(H7:H36)</x:f>
        <x:v>72600</x:v>
      </x:c>
      <x:c r="I37" s="136">
        <x:f>IF(H37&lt;&gt;0,G37/H37,0)</x:f>
        <x:v>1.7757575757575759</x:v>
      </x:c>
      <x:c r="J37" s="134"/>
      <x:c r="K37" s="133"/>
      <x:c r="L37" s="133"/>
    </x:row>
    <x:row r="38" spans="7:9" ht="11.25" customHeight="1">
      <x:c r="G38" s="3"/>
      <x:c r="H38" s="16"/>
      <x:c r="I38" s="20"/>
    </x:row>
    <x:row r="39" spans="2:9" ht="19.5" customHeight="1">
      <x:c r="B39" s="101" t="s">
        <x:v>11</x:v>
      </x:c>
      <x:c r="C39" s="129">
        <x:v>4109</x:v>
      </x:c>
      <x:c r="D39" s="27"/>
      <x:c r="E39" s="27"/>
      <x:c r="F39" s="27"/>
      <x:c r="G39" s="138"/>
      <x:c r="H39" s="131"/>
      <x:c r="I39" s="139"/>
    </x:row>
    <x:row r="40" ht="19.5" customHeight="1"/>
    <x:row r="41" spans="1:18" s="11" customFormat="1" ht="19.5" customHeight="1">
      <x:c r="A41" s="9"/>
      <x:c r="J41" s="145"/>
      <x:c r="R41" s="89"/>
    </x:row>
    <x:row r="42" spans="1:18" s="11" customFormat="1" ht="19.5" customHeight="1">
      <x:c r="A42" s="9"/>
      <x:c r="G42" s="62"/>
      <x:c r="H42" s="62"/>
      <x:c r="I42" s="62"/>
      <x:c r="J42" s="145"/>
      <x:c r="R42" s="89"/>
    </x:row>
    <x:row r="43" spans="7:9" ht="19.5" customHeight="1">
      <x:c r="G43" s="62"/>
      <x:c r="H43" s="62"/>
      <x:c r="I43" s="62"/>
    </x:row>
    <x:row r="44" spans="7:9" ht="28.5" customHeight="1">
      <x:c r="G44" s="62"/>
      <x:c r="H44" s="62"/>
      <x:c r="I44" s="62"/>
    </x:row>
    <x:row r="45" spans="7:9" ht="28.5" customHeight="1">
      <x:c r="G45" s="62"/>
      <x:c r="H45" s="62"/>
      <x:c r="I45" s="62"/>
    </x:row>
    <x:row r="46" spans="7:9" ht="28.5" customHeight="1">
      <x:c r="G46" s="62"/>
      <x:c r="H46" s="62"/>
      <x:c r="I46" s="62"/>
    </x:row>
    <x:row r="47" spans="7:9" ht="28.5" customHeight="1">
      <x:c r="G47" s="62"/>
      <x:c r="H47" s="62"/>
      <x:c r="I47" s="62"/>
    </x:row>
    <x:row r="48" spans="7:9" ht="22.5" customHeight="1">
      <x:c r="G48" s="62"/>
      <x:c r="H48" s="62"/>
      <x:c r="I48" s="62"/>
    </x:row>
    <x:row r="49" spans="7:9">
      <x:c r="G49" s="62"/>
      <x:c r="H49" s="62"/>
      <x:c r="I49" s="62"/>
    </x:row>
    <x:row r="50" spans="7:9">
      <x:c r="G50" s="62"/>
      <x:c r="H50" s="62"/>
      <x:c r="I50" s="62"/>
    </x:row>
    <x:row r="51" spans="7:9">
      <x:c r="G51" s="62"/>
      <x:c r="H51" s="62"/>
      <x:c r="I51" s="62"/>
    </x:row>
  </x:sheetData>
  <x:sortState columnSort="0" caseSensitive="0" ref="C34:I36">
    <x:sortCondition descending="0" sortBy="value" ref="H34:H36"/>
  </x:sortState>
  <x:mergeCells count="16">
    <x:mergeCell ref="B2:L2"/>
    <x:mergeCell ref="B4:C4"/>
    <x:mergeCell ref="N7:Q8"/>
    <x:mergeCell ref="N9:Q9"/>
    <x:mergeCell ref="O10:Q10"/>
    <x:mergeCell ref="O12:Q12"/>
    <x:mergeCell ref="O13:Q13"/>
    <x:mergeCell ref="O14:P14"/>
    <x:mergeCell ref="O15:P15"/>
    <x:mergeCell ref="O16:P16"/>
    <x:mergeCell ref="O17:P17"/>
    <x:mergeCell ref="O18:P18"/>
    <x:mergeCell ref="N20:Q20"/>
    <x:mergeCell ref="N22:Q22"/>
    <x:mergeCell ref="N24:Q24"/>
    <x:mergeCell ref="N26:Q26"/>
  </x:mergeCells>
  <x:printOptions horizontalCentered="1" verticalCentered="1" headings="0" gridLines="0" gridLinesSet="1"/>
  <x:pageMargins left="0.78694444894790649" right="0.78694444894790649" top="0.39375001192092896" bottom="0.39375001192092896" header="0.39375001192092896" footer="0.39375001192092896"/>
  <x:pageSetup paperSize="9" scale="100" firstPageNumber="1" fitToWidth="1" fitToHeight="1" orientation="portrait" usePrinterDefaults="1" blackAndWhite="0" draft="0" useFirstPageNumber="0" horizontalDpi="0" verticalDpi="0" copies="1"/>
  <x:drawing r:id="rId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18"/>
  <x:dimension ref="A1:R51"/>
  <x:sheetViews>
    <x:sheetView topLeftCell="A1" zoomScale="80" zoomScaleNormal="80" zoomScaleSheetLayoutView="75" workbookViewId="0">
      <x:selection activeCell="O2" activeCellId="0" sqref="O2:O2"/>
    </x:sheetView>
  </x:sheetViews>
  <x:sheetFormatPr defaultColWidth="9.00390625" defaultRowHeight="23.5"/>
  <x:cols>
    <x:col min="1" max="1" width="1.875" style="9" customWidth="1"/>
    <x:col min="2" max="2" width="5.4296875" style="9" bestFit="1" customWidth="1"/>
    <x:col min="3" max="3" width="6.6953125" style="9" bestFit="1" customWidth="1"/>
    <x:col min="4" max="4" width="7.8046875" style="9" bestFit="1" customWidth="1"/>
    <x:col min="5" max="5" width="9.05859375" style="9" bestFit="1" customWidth="1"/>
    <x:col min="6" max="6" width="7.640625" style="9" bestFit="1" customWidth="1"/>
    <x:col min="7" max="7" width="10.32421875" style="9" bestFit="1" customWidth="1"/>
    <x:col min="8" max="8" width="9.05859375" style="9" bestFit="1" customWidth="1"/>
    <x:col min="9" max="9" width="7.8046875" style="9" bestFit="1" customWidth="1"/>
    <x:col min="10" max="10" width="5.4296875" style="148" bestFit="1" customWidth="1"/>
    <x:col min="11" max="12" width="5.4296875" style="9" bestFit="1" customWidth="1"/>
    <x:col min="13" max="13" width="1.875" style="11" customWidth="1"/>
    <x:col min="14" max="14" width="9.8515625" style="11" bestFit="1" customWidth="1"/>
    <x:col min="15" max="15" width="6.0625" style="11" bestFit="1" customWidth="1"/>
    <x:col min="16" max="16" width="7.640625" style="11" bestFit="1" customWidth="1"/>
    <x:col min="17" max="17" width="10.375" style="11" customWidth="1"/>
    <x:col min="18" max="18" width="1.875" style="89" customWidth="1"/>
    <x:col min="19" max="21" width="9" style="11"/>
    <x:col min="22" max="22" width="3.125" style="11" customWidth="1"/>
    <x:col min="23" max="16294" width="9" style="11"/>
    <x:col min="16295" max="16384" width="9.00390625" style="11"/>
  </x:cols>
  <x:sheetData>
    <x:row r="1" spans="2:12" ht="11.25" customHeight="1">
      <x:c r="B1" s="90"/>
      <x:c r="C1" s="90"/>
      <x:c r="D1" s="90"/>
      <x:c r="E1" s="90"/>
      <x:c r="F1" s="90"/>
      <x:c r="G1" s="90"/>
      <x:c r="H1" s="90"/>
      <x:c r="I1" s="90"/>
      <x:c r="J1" s="132"/>
      <x:c r="K1" s="90"/>
      <x:c r="L1" s="90"/>
    </x:row>
    <x:row r="2" spans="2:12" ht="19.5" customHeight="1">
      <x:c r="B2" s="221" t="str">
        <x:f>'1'!B2</x:f>
        <x:v>체리부로 26회차  출하 집계표</x:v>
      </x:c>
      <x:c r="C2" s="221"/>
      <x:c r="D2" s="221"/>
      <x:c r="E2" s="221"/>
      <x:c r="F2" s="221"/>
      <x:c r="G2" s="221"/>
      <x:c r="H2" s="221"/>
      <x:c r="I2" s="221"/>
      <x:c r="J2" s="221"/>
      <x:c r="K2" s="221"/>
      <x:c r="L2" s="221" t="s">
        <x:v>197</x:v>
      </x:c>
    </x:row>
    <x:row r="3" spans="2:12" ht="11.25" customHeight="1">
      <x:c r="B3" s="92"/>
      <x:c r="C3" s="92"/>
      <x:c r="D3" s="92"/>
      <x:c r="E3" s="92"/>
      <x:c r="F3" s="92"/>
      <x:c r="G3" s="92"/>
      <x:c r="H3" s="92"/>
      <x:c r="I3" s="92"/>
      <x:c r="J3" s="146"/>
      <x:c r="K3" s="92"/>
      <x:c r="L3" s="92"/>
    </x:row>
    <x:row r="4" spans="2:12" ht="19.5" customHeight="1">
      <x:c r="B4" s="222">
        <x:v>46042</x:v>
      </x:c>
      <x:c r="C4" s="222"/>
      <x:c r="D4" s="94"/>
      <x:c r="E4" s="94"/>
      <x:c r="F4" s="95">
        <x:v>31</x:v>
      </x:c>
      <x:c r="G4" s="96" t="s">
        <x:v>103</x:v>
      </x:c>
      <x:c r="H4" s="97">
        <x:v>1.8999999999999999</x:v>
      </x:c>
      <x:c r="I4" s="98" t="s">
        <x:v>108</x:v>
      </x:c>
      <x:c r="J4" s="146"/>
      <x:c r="K4" s="92"/>
      <x:c r="L4" s="92"/>
    </x:row>
    <x:row r="5" spans="2:12" ht="11.25" customHeight="1">
      <x:c r="B5" s="99"/>
      <x:c r="C5" s="92"/>
      <x:c r="D5" s="92"/>
      <x:c r="E5" s="92"/>
      <x:c r="F5" s="92"/>
      <x:c r="G5" s="92"/>
      <x:c r="H5" s="92"/>
      <x:c r="I5" s="99"/>
      <x:c r="J5" s="132"/>
      <x:c r="K5" s="92"/>
      <x:c r="L5" s="92"/>
    </x:row>
    <x:row r="6" spans="2:18" ht="21" customHeight="1">
      <x:c r="B6" s="133" t="s">
        <x:v>105</x:v>
      </x:c>
      <x:c r="C6" s="133" t="s">
        <x:v>50</x:v>
      </x:c>
      <x:c r="D6" s="133" t="s">
        <x:v>4</x:v>
      </x:c>
      <x:c r="E6" s="133" t="s">
        <x:v>58</x:v>
      </x:c>
      <x:c r="F6" s="133" t="s">
        <x:v>14</x:v>
      </x:c>
      <x:c r="G6" s="133" t="s">
        <x:v>7</x:v>
      </x:c>
      <x:c r="H6" s="133" t="s">
        <x:v>75</x:v>
      </x:c>
      <x:c r="I6" s="133" t="s">
        <x:v>104</x:v>
      </x:c>
      <x:c r="J6" s="134" t="s">
        <x:v>5</x:v>
      </x:c>
      <x:c r="K6" s="133" t="s">
        <x:v>102</x:v>
      </x:c>
      <x:c r="L6" s="133" t="s">
        <x:v>21</x:v>
      </x:c>
      <x:c r="N6" s="3"/>
      <x:c r="O6" s="3"/>
      <x:c r="P6" s="3"/>
      <x:c r="Q6" s="3"/>
      <x:c r="R6" s="100"/>
    </x:row>
    <x:row r="7" spans="2:18" ht="19.5" customHeight="1">
      <x:c r="B7" s="133">
        <x:v>31</x:v>
      </x:c>
      <x:c r="C7" s="101">
        <x:v>2914</x:v>
      </x:c>
      <x:c r="D7" s="102">
        <x:v>8665</x:v>
      </x:c>
      <x:c r="E7" s="103">
        <x:v>12970</x:v>
      </x:c>
      <x:c r="F7" s="104" t="str">
        <x:f>IF(C7&lt;&gt;"",VLOOKUP(C7,명단!$C$4:$F$90,2,FALSE),"")</x:f>
        <x:v>홍월식</x:v>
      </x:c>
      <x:c r="G7" s="105">
        <x:f>IF(E7="","",E7-D7)</x:f>
        <x:v>4305</x:v>
      </x:c>
      <x:c r="H7" s="105">
        <x:v>2420</x:v>
      </x:c>
      <x:c r="I7" s="106">
        <x:f>IF(G7&lt;&gt;"",G7/H7,"")</x:f>
        <x:v>1.7789256198347108</x:v>
      </x:c>
      <x:c r="J7" s="153">
        <x:v>6</x:v>
      </x:c>
      <x:c r="K7" s="107" t="str">
        <x:f>IF(C7&lt;&gt;"","완료","")</x:f>
        <x:v>완료</x:v>
      </x:c>
      <x:c r="L7" s="101"/>
      <x:c r="N7" s="223" t="s">
        <x:v>148</x:v>
      </x:c>
      <x:c r="O7" s="224"/>
      <x:c r="P7" s="224"/>
      <x:c r="Q7" s="225"/>
      <x:c r="R7" s="108"/>
    </x:row>
    <x:row r="8" spans="2:18" ht="19.5" customHeight="1">
      <x:c r="B8" s="133">
        <x:f>B7+1</x:f>
        <x:v>32</x:v>
      </x:c>
      <x:c r="C8" s="101">
        <x:v>7071</x:v>
      </x:c>
      <x:c r="D8" s="103">
        <x:v>8640</x:v>
      </x:c>
      <x:c r="E8" s="103">
        <x:v>12775</x:v>
      </x:c>
      <x:c r="F8" s="104" t="str">
        <x:f>IF(C8&lt;&gt;"",VLOOKUP(C8,명단!$C$4:$F$90,2,FALSE),"")</x:f>
        <x:v>강석호</x:v>
      </x:c>
      <x:c r="G8" s="105">
        <x:f>IF(E8="","",E8-D8)</x:f>
        <x:v>4135</x:v>
      </x:c>
      <x:c r="H8" s="105">
        <x:f>IF(G8&lt;&gt;"",$H$7,"")</x:f>
        <x:v>2420</x:v>
      </x:c>
      <x:c r="I8" s="106">
        <x:f>IF(G8&lt;&gt;"",G8/H8,"")</x:f>
        <x:v>1.7086776859504131</x:v>
      </x:c>
      <x:c r="J8" s="153">
        <x:v>6</x:v>
      </x:c>
      <x:c r="K8" s="107" t="str">
        <x:f>IF(C8&lt;&gt;"","완료","")</x:f>
        <x:v>완료</x:v>
      </x:c>
      <x:c r="L8" s="101"/>
      <x:c r="N8" s="226"/>
      <x:c r="O8" s="227"/>
      <x:c r="P8" s="227"/>
      <x:c r="Q8" s="228"/>
      <x:c r="R8" s="108"/>
    </x:row>
    <x:row r="9" spans="2:18" ht="19.5" customHeight="1">
      <x:c r="B9" s="133">
        <x:f>B8+1</x:f>
        <x:v>33</x:v>
      </x:c>
      <x:c r="C9" s="101">
        <x:v>7126</x:v>
      </x:c>
      <x:c r="D9" s="103">
        <x:v>8150</x:v>
      </x:c>
      <x:c r="E9" s="103">
        <x:v>12335</x:v>
      </x:c>
      <x:c r="F9" s="104" t="str">
        <x:f>IF(C9&lt;&gt;"",VLOOKUP(C9,명단!$C$4:$F$90,2,FALSE),"")</x:f>
        <x:v>전대권</x:v>
      </x:c>
      <x:c r="G9" s="105">
        <x:f>IF(E9="","",E9-D9)</x:f>
        <x:v>4185</x:v>
      </x:c>
      <x:c r="H9" s="105">
        <x:f>IF(G9&lt;&gt;"",$H$7,"")</x:f>
        <x:v>2420</x:v>
      </x:c>
      <x:c r="I9" s="106">
        <x:f>IF(G9&lt;&gt;"",G9/H9,"")</x:f>
        <x:v>1.7293388429752066</x:v>
      </x:c>
      <x:c r="J9" s="153">
        <x:v>6</x:v>
      </x:c>
      <x:c r="K9" s="107" t="str">
        <x:f>IF(C9&lt;&gt;"","완료","")</x:f>
        <x:v>완료</x:v>
      </x:c>
      <x:c r="L9" s="101"/>
      <x:c r="N9" s="229" t="s">
        <x:v>172</x:v>
      </x:c>
      <x:c r="O9" s="230"/>
      <x:c r="P9" s="230"/>
      <x:c r="Q9" s="231"/>
      <x:c r="R9" s="100"/>
    </x:row>
    <x:row r="10" spans="2:18" ht="19.5" customHeight="1">
      <x:c r="B10" s="133">
        <x:f>B9+1</x:f>
        <x:v>34</x:v>
      </x:c>
      <x:c r="C10" s="101">
        <x:v>5562</x:v>
      </x:c>
      <x:c r="D10" s="103">
        <x:v>8095</x:v>
      </x:c>
      <x:c r="E10" s="103">
        <x:v>12230</x:v>
      </x:c>
      <x:c r="F10" s="104" t="str">
        <x:f>IF(C10&lt;&gt;"",VLOOKUP(C10,명단!$C$4:$F$90,2,FALSE),"")</x:f>
        <x:v>오완수</x:v>
      </x:c>
      <x:c r="G10" s="105">
        <x:f>IF(E10="","",E10-D10)</x:f>
        <x:v>4135</x:v>
      </x:c>
      <x:c r="H10" s="105">
        <x:f>IF(G10&lt;&gt;"",$H$7,"")</x:f>
        <x:v>2420</x:v>
      </x:c>
      <x:c r="I10" s="106">
        <x:f>IF(G10&lt;&gt;"",G10/H10,"")</x:f>
        <x:v>1.7086776859504131</x:v>
      </x:c>
      <x:c r="J10" s="153">
        <x:v>6</x:v>
      </x:c>
      <x:c r="K10" s="107" t="str">
        <x:f>IF(C10&lt;&gt;"","완료","")</x:f>
        <x:v>완료</x:v>
      </x:c>
      <x:c r="L10" s="101"/>
      <x:c r="N10" s="101" t="s">
        <x:v>143</x:v>
      </x:c>
      <x:c r="O10" s="232">
        <x:f ca="1">NOW()</x:f>
        <x:v>46088.592185856483</x:v>
      </x:c>
      <x:c r="P10" s="233"/>
      <x:c r="Q10" s="234"/>
      <x:c r="R10" s="109"/>
    </x:row>
    <x:row r="11" spans="2:18" ht="19.5" customHeight="1">
      <x:c r="B11" s="133">
        <x:f>B10+1</x:f>
        <x:v>35</x:v>
      </x:c>
      <x:c r="C11" s="101">
        <x:v>5784</x:v>
      </x:c>
      <x:c r="D11" s="103">
        <x:v>7815</x:v>
      </x:c>
      <x:c r="E11" s="103">
        <x:v>12140</x:v>
      </x:c>
      <x:c r="F11" s="104" t="str">
        <x:f>IF(C11&lt;&gt;"",VLOOKUP(C11,명단!$C$4:$F$90,2,FALSE),"")</x:f>
        <x:v>정영천</x:v>
      </x:c>
      <x:c r="G11" s="105">
        <x:f>IF(E11="","",E11-D11)</x:f>
        <x:v>4325</x:v>
      </x:c>
      <x:c r="H11" s="105">
        <x:f>IF(G11&lt;&gt;"",$H$7,"")</x:f>
        <x:v>2420</x:v>
      </x:c>
      <x:c r="I11" s="106">
        <x:f>IF(G11&lt;&gt;"",G11/H11,"")</x:f>
        <x:v>1.7871900826446281</x:v>
      </x:c>
      <x:c r="J11" s="153">
        <x:v>6</x:v>
      </x:c>
      <x:c r="K11" s="107" t="str">
        <x:f>IF(C11&lt;&gt;"","완료","")</x:f>
        <x:v>완료</x:v>
      </x:c>
      <x:c r="L11" s="101"/>
      <x:c r="N11" s="101" t="s">
        <x:v>50</x:v>
      </x:c>
      <x:c r="O11" s="107">
        <x:f>C39</x:f>
        <x:v>7030</x:v>
      </x:c>
      <x:c r="P11" s="107" t="s">
        <x:v>73</x:v>
      </x:c>
      <x:c r="Q11" s="107" t="str">
        <x:f>VLOOKUP(O11,C7:I45,4,0)</x:f>
        <x:v>이재철</x:v>
      </x:c>
      <x:c r="R11" s="110"/>
    </x:row>
    <x:row r="12" spans="2:18" ht="19.5" customHeight="1">
      <x:c r="B12" s="133">
        <x:f>B11+1</x:f>
        <x:v>36</x:v>
      </x:c>
      <x:c r="C12" s="101">
        <x:v>7030</x:v>
      </x:c>
      <x:c r="D12" s="103">
        <x:v>8670</x:v>
      </x:c>
      <x:c r="E12" s="103">
        <x:v>11430</x:v>
      </x:c>
      <x:c r="F12" s="104" t="str">
        <x:f>IF(C12&lt;&gt;"",VLOOKUP(C12,명단!$C$4:$F$90,2,FALSE),"")</x:f>
        <x:v>이재철</x:v>
      </x:c>
      <x:c r="G12" s="105">
        <x:f>IF(E12="","",E12-D12)</x:f>
        <x:v>2760</x:v>
      </x:c>
      <x:c r="H12" s="105">
        <x:v>1560</x:v>
      </x:c>
      <x:c r="I12" s="106">
        <x:f>IF(G12&lt;&gt;"",G12/H12,"")</x:f>
        <x:v>1.7692307692307692</x:v>
      </x:c>
      <x:c r="J12" s="153">
        <x:v>6</x:v>
      </x:c>
      <x:c r="K12" s="107" t="str">
        <x:f>IF(C12&lt;&gt;"","완료","")</x:f>
        <x:v>완료</x:v>
      </x:c>
      <x:c r="L12" s="101"/>
      <x:c r="N12" s="101" t="s">
        <x:v>182</x:v>
      </x:c>
      <x:c r="O12" s="235" t="s">
        <x:v>180</x:v>
      </x:c>
      <x:c r="P12" s="235"/>
      <x:c r="Q12" s="235"/>
      <x:c r="R12" s="109"/>
    </x:row>
    <x:row r="13" spans="2:18" ht="19.5" customHeight="1">
      <x:c r="B13" s="143"/>
      <x:c r="C13" s="101"/>
      <x:c r="D13" s="103"/>
      <x:c r="E13" s="103"/>
      <x:c r="F13" s="104" t="str">
        <x:f>IF(C13&lt;&gt;"",VLOOKUP(C13,명단!$C$4:$F$90,2,FALSE),"")</x:f>
        <x:v/>
      </x:c>
      <x:c r="G13" s="105" t="str">
        <x:f>IF(E13="","",E13-D13)</x:f>
        <x:v/>
      </x:c>
      <x:c r="H13" s="105" t="str">
        <x:f>IF(G13&lt;&gt;"",$H$7,"")</x:f>
        <x:v/>
      </x:c>
      <x:c r="I13" s="106" t="str">
        <x:f>IF(G13&lt;&gt;"",G13/H13,"")</x:f>
        <x:v/>
      </x:c>
      <x:c r="J13" s="153"/>
      <x:c r="K13" s="107" t="str">
        <x:f>IF(C13&lt;&gt;"","완료","")</x:f>
        <x:v/>
      </x:c>
      <x:c r="L13" s="101"/>
      <x:c r="N13" s="101" t="s">
        <x:v>93</x:v>
      </x:c>
      <x:c r="O13" s="235" t="s">
        <x:v>82</x:v>
      </x:c>
      <x:c r="P13" s="235"/>
      <x:c r="Q13" s="235"/>
      <x:c r="R13" s="109"/>
    </x:row>
    <x:row r="14" spans="1:18" s="11" customFormat="1" ht="19.5" customHeight="1">
      <x:c r="A14" s="9"/>
      <x:c r="B14" s="143"/>
      <x:c r="C14" s="101"/>
      <x:c r="D14" s="103"/>
      <x:c r="E14" s="103"/>
      <x:c r="F14" s="104" t="str">
        <x:f>IF(C14&lt;&gt;"",VLOOKUP(C14,명단!$C$4:$F$90,2,FALSE),"")</x:f>
        <x:v/>
      </x:c>
      <x:c r="G14" s="105" t="str">
        <x:f>IF(E14="","",E14-D14)</x:f>
        <x:v/>
      </x:c>
      <x:c r="H14" s="105" t="str">
        <x:f>IF(G14&lt;&gt;"",$H$7,"")</x:f>
        <x:v/>
      </x:c>
      <x:c r="I14" s="106" t="str">
        <x:f>IF(G14&lt;&gt;"",G14/H14,"")</x:f>
        <x:v/>
      </x:c>
      <x:c r="J14" s="153"/>
      <x:c r="K14" s="107" t="str">
        <x:f>IF(C14&lt;&gt;"","완료","")</x:f>
        <x:v/>
      </x:c>
      <x:c r="L14" s="101"/>
      <x:c r="N14" s="101" t="s">
        <x:v>168</x:v>
      </x:c>
      <x:c r="O14" s="236">
        <x:f>VLOOKUP(O11,C7:I45,2,0)</x:f>
        <x:v>8670</x:v>
      </x:c>
      <x:c r="P14" s="237"/>
      <x:c r="Q14" s="111" t="s">
        <x:v>108</x:v>
      </x:c>
      <x:c r="R14" s="109"/>
    </x:row>
    <x:row r="15" spans="1:18" s="11" customFormat="1" ht="19.5" customHeight="1">
      <x:c r="A15" s="9"/>
      <x:c r="B15" s="143"/>
      <x:c r="C15" s="101"/>
      <x:c r="D15" s="103"/>
      <x:c r="E15" s="103"/>
      <x:c r="F15" s="104" t="str">
        <x:f>IF(C15&lt;&gt;"",VLOOKUP(C15,명단!$C$4:$F$90,2,FALSE),"")</x:f>
        <x:v/>
      </x:c>
      <x:c r="G15" s="105" t="str">
        <x:f>IF(E15="","",E15-D15)</x:f>
        <x:v/>
      </x:c>
      <x:c r="H15" s="105" t="str">
        <x:f>IF(G15&lt;&gt;"",$H$7,"")</x:f>
        <x:v/>
      </x:c>
      <x:c r="I15" s="106" t="str">
        <x:f>IF(G15&lt;&gt;"",G15/H15,"")</x:f>
        <x:v/>
      </x:c>
      <x:c r="J15" s="153"/>
      <x:c r="K15" s="107" t="str">
        <x:f>IF(C15&lt;&gt;"","완료","")</x:f>
        <x:v/>
      </x:c>
      <x:c r="L15" s="101"/>
      <x:c r="N15" s="101" t="s">
        <x:v>149</x:v>
      </x:c>
      <x:c r="O15" s="236">
        <x:f>VLOOKUP(O11,C7:I45,3,0)</x:f>
        <x:v>11430</x:v>
      </x:c>
      <x:c r="P15" s="237"/>
      <x:c r="Q15" s="112" t="s">
        <x:v>108</x:v>
      </x:c>
      <x:c r="R15" s="109"/>
    </x:row>
    <x:row r="16" spans="1:18" s="11" customFormat="1" ht="19.5" customHeight="1">
      <x:c r="A16" s="9"/>
      <x:c r="B16" s="143"/>
      <x:c r="C16" s="101"/>
      <x:c r="D16" s="103"/>
      <x:c r="E16" s="103"/>
      <x:c r="F16" s="104" t="str">
        <x:f>IF(C16&lt;&gt;"",VLOOKUP(C16,명단!$C$4:$F$90,2,FALSE),"")</x:f>
        <x:v/>
      </x:c>
      <x:c r="G16" s="105" t="str">
        <x:f>IF(E16="","",E16-D16)</x:f>
        <x:v/>
      </x:c>
      <x:c r="H16" s="105" t="str">
        <x:f>IF(G16&lt;&gt;"",$H$7,"")</x:f>
        <x:v/>
      </x:c>
      <x:c r="I16" s="106" t="str">
        <x:f>IF(G16&lt;&gt;"",G16/H16,"")</x:f>
        <x:v/>
      </x:c>
      <x:c r="J16" s="153"/>
      <x:c r="K16" s="107" t="str">
        <x:f>IF(C16&lt;&gt;"","완료","")</x:f>
        <x:v/>
      </x:c>
      <x:c r="L16" s="101"/>
      <x:c r="N16" s="101" t="s">
        <x:v>145</x:v>
      </x:c>
      <x:c r="O16" s="236">
        <x:f>VLOOKUP(O11,C7:I45,5,0)</x:f>
        <x:v>2760</x:v>
      </x:c>
      <x:c r="P16" s="237"/>
      <x:c r="Q16" s="112" t="s">
        <x:v>108</x:v>
      </x:c>
      <x:c r="R16" s="109"/>
    </x:row>
    <x:row r="17" spans="1:18" s="11" customFormat="1" ht="19.5" customHeight="1">
      <x:c r="A17" s="9"/>
      <x:c r="B17" s="143"/>
      <x:c r="C17" s="101"/>
      <x:c r="D17" s="103"/>
      <x:c r="E17" s="103"/>
      <x:c r="F17" s="104" t="str">
        <x:f>IF(C17&lt;&gt;"",VLOOKUP(C17,명단!$C$4:$F$90,2,FALSE),"")</x:f>
        <x:v/>
      </x:c>
      <x:c r="G17" s="105" t="str">
        <x:f>IF(E17="","",E17-D17)</x:f>
        <x:v/>
      </x:c>
      <x:c r="H17" s="105" t="str">
        <x:f>IF(G17&lt;&gt;"",$H$7,"")</x:f>
        <x:v/>
      </x:c>
      <x:c r="I17" s="106" t="str">
        <x:f>IF(G17&lt;&gt;"",G17/H17,"")</x:f>
        <x:v/>
      </x:c>
      <x:c r="J17" s="153"/>
      <x:c r="K17" s="107" t="str">
        <x:f>IF(C17&lt;&gt;"","완료","")</x:f>
        <x:v/>
      </x:c>
      <x:c r="L17" s="101"/>
      <x:c r="N17" s="101" t="s">
        <x:v>104</x:v>
      </x:c>
      <x:c r="O17" s="238">
        <x:f>VLOOKUP(O11,C7:I45,7,0)</x:f>
        <x:v>1.7692307692307692</x:v>
      </x:c>
      <x:c r="P17" s="239"/>
      <x:c r="Q17" s="113" t="s">
        <x:v>108</x:v>
      </x:c>
      <x:c r="R17" s="109"/>
    </x:row>
    <x:row r="18" spans="1:18" s="11" customFormat="1" ht="19.5" customHeight="1">
      <x:c r="A18" s="9"/>
      <x:c r="B18" s="143"/>
      <x:c r="C18" s="101"/>
      <x:c r="D18" s="103"/>
      <x:c r="E18" s="103"/>
      <x:c r="F18" s="104" t="str">
        <x:f>IF(C18&lt;&gt;"",VLOOKUP(C18,명단!$C$4:$F$90,2,FALSE),"")</x:f>
        <x:v/>
      </x:c>
      <x:c r="G18" s="105" t="str">
        <x:f>IF(E18="","",E18-D18)</x:f>
        <x:v/>
      </x:c>
      <x:c r="H18" s="105" t="str">
        <x:f>IF(G18&lt;&gt;"",$H$7,"")</x:f>
        <x:v/>
      </x:c>
      <x:c r="I18" s="106" t="str">
        <x:f>IF(G18&lt;&gt;"",G18/H18,"")</x:f>
        <x:v/>
      </x:c>
      <x:c r="J18" s="153"/>
      <x:c r="K18" s="107" t="str">
        <x:f>IF(C18&lt;&gt;"","완료","")</x:f>
        <x:v/>
      </x:c>
      <x:c r="L18" s="101"/>
      <x:c r="N18" s="114" t="s">
        <x:v>75</x:v>
      </x:c>
      <x:c r="O18" s="236">
        <x:f>VLOOKUP(O11,C7:I45,6,0)</x:f>
        <x:v>1560</x:v>
      </x:c>
      <x:c r="P18" s="237"/>
      <x:c r="Q18" s="112" t="s">
        <x:v>59</x:v>
      </x:c>
      <x:c r="R18" s="109"/>
    </x:row>
    <x:row r="19" spans="1:18" s="11" customFormat="1" ht="19.5" customHeight="1">
      <x:c r="A19" s="9"/>
      <x:c r="B19" s="143"/>
      <x:c r="C19" s="101"/>
      <x:c r="D19" s="103"/>
      <x:c r="E19" s="103"/>
      <x:c r="F19" s="104" t="str">
        <x:f>IF(C19&lt;&gt;"",VLOOKUP(C19,명단!$C$4:$F$90,2,FALSE),"")</x:f>
        <x:v/>
      </x:c>
      <x:c r="G19" s="105" t="str">
        <x:f>IF(E19="","",E19-D19)</x:f>
        <x:v/>
      </x:c>
      <x:c r="H19" s="105" t="str">
        <x:f>IF(G19&lt;&gt;"",$H$7,"")</x:f>
        <x:v/>
      </x:c>
      <x:c r="I19" s="106" t="str">
        <x:f>IF(G19&lt;&gt;"",G19/H19,"")</x:f>
        <x:v/>
      </x:c>
      <x:c r="J19" s="153"/>
      <x:c r="K19" s="107" t="str">
        <x:f>IF(C19&lt;&gt;"","완료","")</x:f>
        <x:v/>
      </x:c>
      <x:c r="L19" s="101"/>
      <x:c r="N19" s="115"/>
      <x:c r="O19" s="116"/>
      <x:c r="P19" s="116"/>
      <x:c r="Q19" s="117"/>
      <x:c r="R19" s="100"/>
    </x:row>
    <x:row r="20" spans="1:18" s="11" customFormat="1" ht="19.5" customHeight="1">
      <x:c r="A20" s="9"/>
      <x:c r="B20" s="143"/>
      <x:c r="C20" s="101"/>
      <x:c r="D20" s="103"/>
      <x:c r="E20" s="103"/>
      <x:c r="F20" s="104" t="str">
        <x:f>IF(C20&lt;&gt;"",VLOOKUP(C20,명단!$C$4:$F$90,2,FALSE),"")</x:f>
        <x:v/>
      </x:c>
      <x:c r="G20" s="105" t="str">
        <x:f>IF(E20="","",E20-D20)</x:f>
        <x:v/>
      </x:c>
      <x:c r="H20" s="105" t="str">
        <x:f>IF(G20&lt;&gt;"",$H$7,"")</x:f>
        <x:v/>
      </x:c>
      <x:c r="I20" s="106" t="str">
        <x:f>IF(G20&lt;&gt;"",G20/H20,"")</x:f>
        <x:v/>
      </x:c>
      <x:c r="J20" s="153"/>
      <x:c r="K20" s="107" t="str">
        <x:f>IF(C20&lt;&gt;"","완료","")</x:f>
        <x:v/>
      </x:c>
      <x:c r="L20" s="101"/>
      <x:c r="N20" s="240" t="s">
        <x:v>198</x:v>
      </x:c>
      <x:c r="O20" s="241"/>
      <x:c r="P20" s="241"/>
      <x:c r="Q20" s="242"/>
      <x:c r="R20" s="118"/>
    </x:row>
    <x:row r="21" spans="1:18" s="11" customFormat="1" ht="19.5" customHeight="1">
      <x:c r="A21" s="9"/>
      <x:c r="B21" s="143"/>
      <x:c r="C21" s="101"/>
      <x:c r="D21" s="103"/>
      <x:c r="E21" s="103"/>
      <x:c r="F21" s="104" t="str">
        <x:f>IF(C21&lt;&gt;"",VLOOKUP(C21,명단!$C$4:$F$90,2,FALSE),"")</x:f>
        <x:v/>
      </x:c>
      <x:c r="G21" s="105" t="str">
        <x:f>IF(E21="","",E21-D21)</x:f>
        <x:v/>
      </x:c>
      <x:c r="H21" s="105" t="str">
        <x:f>IF(G21&lt;&gt;"",$H$7,"")</x:f>
        <x:v/>
      </x:c>
      <x:c r="I21" s="106" t="str">
        <x:f>IF(G21&lt;&gt;"",G21/H21,"")</x:f>
        <x:v/>
      </x:c>
      <x:c r="J21" s="153"/>
      <x:c r="K21" s="107" t="str">
        <x:f>IF(C21&lt;&gt;"","완료","")</x:f>
        <x:v/>
      </x:c>
      <x:c r="L21" s="101"/>
      <x:c r="N21" s="119"/>
      <x:c r="O21" s="88"/>
      <x:c r="P21" s="88"/>
      <x:c r="Q21" s="120"/>
      <x:c r="R21" s="121"/>
    </x:row>
    <x:row r="22" spans="1:18" s="11" customFormat="1" ht="19.5" customHeight="1">
      <x:c r="A22" s="9"/>
      <x:c r="B22" s="143"/>
      <x:c r="C22" s="101"/>
      <x:c r="D22" s="103"/>
      <x:c r="E22" s="103"/>
      <x:c r="F22" s="104" t="str">
        <x:f>IF(C22&lt;&gt;"",VLOOKUP(C22,명단!$C$4:$F$90,2,FALSE),"")</x:f>
        <x:v/>
      </x:c>
      <x:c r="G22" s="105" t="str">
        <x:f>IF(E22="","",E22-D22)</x:f>
        <x:v/>
      </x:c>
      <x:c r="H22" s="105" t="str">
        <x:f>IF(G22&lt;&gt;"",$H$7,"")</x:f>
        <x:v/>
      </x:c>
      <x:c r="I22" s="106" t="str">
        <x:f>IF(G22&lt;&gt;"",G22/H22,"")</x:f>
        <x:v/>
      </x:c>
      <x:c r="J22" s="153"/>
      <x:c r="K22" s="107" t="str">
        <x:f>IF(C22&lt;&gt;"","완료","")</x:f>
        <x:v/>
      </x:c>
      <x:c r="L22" s="101"/>
      <x:c r="N22" s="243" t="s">
        <x:v>140</x:v>
      </x:c>
      <x:c r="O22" s="244"/>
      <x:c r="P22" s="244"/>
      <x:c r="Q22" s="245"/>
      <x:c r="R22" s="89"/>
    </x:row>
    <x:row r="23" spans="1:18" s="11" customFormat="1" ht="19.5" customHeight="1">
      <x:c r="A23" s="9"/>
      <x:c r="B23" s="143"/>
      <x:c r="C23" s="101"/>
      <x:c r="D23" s="103"/>
      <x:c r="E23" s="103"/>
      <x:c r="F23" s="104" t="str">
        <x:f>IF(C23&lt;&gt;"",VLOOKUP(C23,명단!$C$4:$F$90,2,FALSE),"")</x:f>
        <x:v/>
      </x:c>
      <x:c r="G23" s="105" t="str">
        <x:f>IF(E23="","",E23-D23)</x:f>
        <x:v/>
      </x:c>
      <x:c r="H23" s="105" t="str">
        <x:f>IF(G23&lt;&gt;"",$H$7,"")</x:f>
        <x:v/>
      </x:c>
      <x:c r="I23" s="106" t="str">
        <x:f>IF(G23&lt;&gt;"",G23/H23,"")</x:f>
        <x:v/>
      </x:c>
      <x:c r="J23" s="153"/>
      <x:c r="K23" s="107" t="str">
        <x:f>IF(C23&lt;&gt;"","완료","")</x:f>
        <x:v/>
      </x:c>
      <x:c r="L23" s="101"/>
      <x:c r="N23" s="122"/>
      <x:c r="O23" s="87"/>
      <x:c r="P23" s="87"/>
      <x:c r="Q23" s="123"/>
      <x:c r="R23" s="121"/>
    </x:row>
    <x:row r="24" spans="1:18" s="11" customFormat="1" ht="19.5" customHeight="1">
      <x:c r="A24" s="9"/>
      <x:c r="B24" s="143"/>
      <x:c r="C24" s="101"/>
      <x:c r="D24" s="103"/>
      <x:c r="E24" s="103"/>
      <x:c r="F24" s="104" t="str">
        <x:f>IF(C24&lt;&gt;"",VLOOKUP(C24,명단!$C$4:$F$90,2,FALSE),"")</x:f>
        <x:v/>
      </x:c>
      <x:c r="G24" s="105" t="str">
        <x:f>IF(E24="","",E24-D24)</x:f>
        <x:v/>
      </x:c>
      <x:c r="H24" s="105" t="str">
        <x:f>IF(G24&lt;&gt;"",$H$7,"")</x:f>
        <x:v/>
      </x:c>
      <x:c r="I24" s="106" t="str">
        <x:f>IF(G24&lt;&gt;"",G24/H24,"")</x:f>
        <x:v/>
      </x:c>
      <x:c r="J24" s="153"/>
      <x:c r="K24" s="107" t="str">
        <x:f>IF(C24&lt;&gt;"","완료","")</x:f>
        <x:v/>
      </x:c>
      <x:c r="L24" s="101"/>
      <x:c r="N24" s="240" t="s">
        <x:v>2</x:v>
      </x:c>
      <x:c r="O24" s="241"/>
      <x:c r="P24" s="241"/>
      <x:c r="Q24" s="242"/>
      <x:c r="R24" s="118"/>
    </x:row>
    <x:row r="25" spans="1:18" s="11" customFormat="1" ht="19.5" customHeight="1">
      <x:c r="A25" s="9"/>
      <x:c r="B25" s="143"/>
      <x:c r="C25" s="101"/>
      <x:c r="D25" s="103"/>
      <x:c r="E25" s="103"/>
      <x:c r="F25" s="104" t="str">
        <x:f>IF(C25&lt;&gt;"",VLOOKUP(C25,명단!$C$4:$F$90,2,FALSE),"")</x:f>
        <x:v/>
      </x:c>
      <x:c r="G25" s="105" t="str">
        <x:f>IF(E25="","",E25-D25)</x:f>
        <x:v/>
      </x:c>
      <x:c r="H25" s="105" t="str">
        <x:f>IF(G25&lt;&gt;"",$H$7,"")</x:f>
        <x:v/>
      </x:c>
      <x:c r="I25" s="106" t="str">
        <x:f>IF(G25&lt;&gt;"",G25/H25,"")</x:f>
        <x:v/>
      </x:c>
      <x:c r="J25" s="153"/>
      <x:c r="K25" s="107" t="str">
        <x:f>IF(C25&lt;&gt;"","완료","")</x:f>
        <x:v/>
      </x:c>
      <x:c r="L25" s="101"/>
      <x:c r="N25" s="124"/>
      <x:c r="O25" s="118"/>
      <x:c r="P25" s="118"/>
      <x:c r="Q25" s="125"/>
      <x:c r="R25" s="118"/>
    </x:row>
    <x:row r="26" spans="1:18" s="11" customFormat="1" ht="19.5" customHeight="1">
      <x:c r="A26" s="9"/>
      <x:c r="B26" s="143"/>
      <x:c r="C26" s="101"/>
      <x:c r="D26" s="103"/>
      <x:c r="E26" s="103"/>
      <x:c r="F26" s="104" t="str">
        <x:f>IF(C26&lt;&gt;"",VLOOKUP(C26,명단!$C$4:$F$90,2,FALSE),"")</x:f>
        <x:v/>
      </x:c>
      <x:c r="G26" s="105" t="str">
        <x:f>IF(E26="","",E26-D26)</x:f>
        <x:v/>
      </x:c>
      <x:c r="H26" s="105" t="str">
        <x:f>IF(G26&lt;&gt;"",$H$7,"")</x:f>
        <x:v/>
      </x:c>
      <x:c r="I26" s="106" t="str">
        <x:f>IF(G26&lt;&gt;"",G26/H26,"")</x:f>
        <x:v/>
      </x:c>
      <x:c r="J26" s="153"/>
      <x:c r="K26" s="107" t="str">
        <x:f>IF(C26&lt;&gt;"","완료","")</x:f>
        <x:v/>
      </x:c>
      <x:c r="L26" s="101"/>
      <x:c r="N26" s="240" t="s">
        <x:v>134</x:v>
      </x:c>
      <x:c r="O26" s="241"/>
      <x:c r="P26" s="241"/>
      <x:c r="Q26" s="242"/>
      <x:c r="R26" s="118"/>
    </x:row>
    <x:row r="27" spans="1:18" s="11" customFormat="1" ht="19.5" customHeight="1">
      <x:c r="A27" s="9"/>
      <x:c r="B27" s="143"/>
      <x:c r="C27" s="101"/>
      <x:c r="D27" s="103"/>
      <x:c r="E27" s="103"/>
      <x:c r="F27" s="104" t="str">
        <x:f>IF(C27&lt;&gt;"",VLOOKUP(C27,명단!$C$4:$F$90,2,FALSE),"")</x:f>
        <x:v/>
      </x:c>
      <x:c r="G27" s="105" t="str">
        <x:f>IF(E27="","",E27-D27)</x:f>
        <x:v/>
      </x:c>
      <x:c r="H27" s="105" t="str">
        <x:f>IF(G27&lt;&gt;"",$H$7,"")</x:f>
        <x:v/>
      </x:c>
      <x:c r="I27" s="106" t="str">
        <x:f>IF(G27&lt;&gt;"",G27/H27,"")</x:f>
        <x:v/>
      </x:c>
      <x:c r="J27" s="153"/>
      <x:c r="K27" s="107" t="str">
        <x:f>IF(C27&lt;&gt;"","완료","")</x:f>
        <x:v/>
      </x:c>
      <x:c r="L27" s="101"/>
      <x:c r="N27" s="126"/>
      <x:c r="O27" s="127"/>
      <x:c r="P27" s="127"/>
      <x:c r="Q27" s="128"/>
      <x:c r="R27" s="121"/>
    </x:row>
    <x:row r="28" spans="1:18" s="11" customFormat="1" ht="19.5" customHeight="1">
      <x:c r="A28" s="9"/>
      <x:c r="B28" s="143"/>
      <x:c r="C28" s="101"/>
      <x:c r="D28" s="103"/>
      <x:c r="E28" s="103"/>
      <x:c r="F28" s="104" t="str">
        <x:f>IF(C28&lt;&gt;"",VLOOKUP(C28,명단!$C$4:$F$90,2,FALSE),"")</x:f>
        <x:v/>
      </x:c>
      <x:c r="G28" s="105" t="str">
        <x:f>IF(E28="","",E28-D28)</x:f>
        <x:v/>
      </x:c>
      <x:c r="H28" s="105" t="str">
        <x:f>IF(G28&lt;&gt;"",$H$7,"")</x:f>
        <x:v/>
      </x:c>
      <x:c r="I28" s="106" t="str">
        <x:f>IF(G28&lt;&gt;"",G28/H28,"")</x:f>
        <x:v/>
      </x:c>
      <x:c r="J28" s="153"/>
      <x:c r="K28" s="107" t="str">
        <x:f>IF(C28&lt;&gt;"","완료","")</x:f>
        <x:v/>
      </x:c>
      <x:c r="L28" s="101"/>
      <x:c r="N28" s="3"/>
      <x:c r="O28" s="3"/>
      <x:c r="P28" s="3"/>
      <x:c r="Q28" s="3"/>
      <x:c r="R28" s="100"/>
    </x:row>
    <x:row r="29" spans="1:18" s="11" customFormat="1" ht="19.5" customHeight="1">
      <x:c r="A29" s="9"/>
      <x:c r="B29" s="143"/>
      <x:c r="C29" s="101"/>
      <x:c r="D29" s="103"/>
      <x:c r="E29" s="103"/>
      <x:c r="F29" s="104" t="str">
        <x:f>IF(C29&lt;&gt;"",VLOOKUP(C29,명단!$C$4:$F$90,2,FALSE),"")</x:f>
        <x:v/>
      </x:c>
      <x:c r="G29" s="105" t="str">
        <x:f>IF(E29="","",E29-D29)</x:f>
        <x:v/>
      </x:c>
      <x:c r="H29" s="105" t="str">
        <x:f>IF(G29&lt;&gt;"",$H$7,"")</x:f>
        <x:v/>
      </x:c>
      <x:c r="I29" s="106" t="str">
        <x:f>IF(G29&lt;&gt;"",G29/H29,"")</x:f>
        <x:v/>
      </x:c>
      <x:c r="J29" s="153"/>
      <x:c r="K29" s="107" t="str">
        <x:f>IF(C29&lt;&gt;"","완료","")</x:f>
        <x:v/>
      </x:c>
      <x:c r="L29" s="101"/>
      <x:c r="R29" s="100"/>
    </x:row>
    <x:row r="30" spans="1:18" s="11" customFormat="1" ht="19.5" customHeight="1">
      <x:c r="A30" s="9"/>
      <x:c r="B30" s="143"/>
      <x:c r="C30" s="101"/>
      <x:c r="D30" s="103"/>
      <x:c r="E30" s="103"/>
      <x:c r="F30" s="104" t="str">
        <x:f>IF(C30&lt;&gt;"",VLOOKUP(C30,명단!$C$4:$F$90,2,FALSE),"")</x:f>
        <x:v/>
      </x:c>
      <x:c r="G30" s="105" t="str">
        <x:f>IF(E30="","",E30-D30)</x:f>
        <x:v/>
      </x:c>
      <x:c r="H30" s="105" t="str">
        <x:f>IF(G30&lt;&gt;"",$H$7,"")</x:f>
        <x:v/>
      </x:c>
      <x:c r="I30" s="106" t="str">
        <x:f>IF(G30&lt;&gt;"",G30/H30,"")</x:f>
        <x:v/>
      </x:c>
      <x:c r="J30" s="153"/>
      <x:c r="K30" s="107" t="str">
        <x:f>IF(C30&lt;&gt;"","완료","")</x:f>
        <x:v/>
      </x:c>
      <x:c r="L30" s="101"/>
      <x:c r="R30" s="89"/>
    </x:row>
    <x:row r="31" spans="1:18" s="11" customFormat="1" ht="19.5" customHeight="1">
      <x:c r="A31" s="9"/>
      <x:c r="B31" s="143"/>
      <x:c r="C31" s="101"/>
      <x:c r="D31" s="103"/>
      <x:c r="E31" s="103"/>
      <x:c r="F31" s="104" t="str">
        <x:f>IF(C31&lt;&gt;"",VLOOKUP(C31,명단!$C$4:$F$90,2,FALSE),"")</x:f>
        <x:v/>
      </x:c>
      <x:c r="G31" s="105" t="str">
        <x:f>IF(E31="","",E31-D31)</x:f>
        <x:v/>
      </x:c>
      <x:c r="H31" s="105" t="str">
        <x:f>IF(G31&lt;&gt;"",$H$7,"")</x:f>
        <x:v/>
      </x:c>
      <x:c r="I31" s="106" t="str">
        <x:f>IF(G31&lt;&gt;"",G31/H31,"")</x:f>
        <x:v/>
      </x:c>
      <x:c r="J31" s="153"/>
      <x:c r="K31" s="107" t="str">
        <x:f>IF(C31&lt;&gt;"","완료","")</x:f>
        <x:v/>
      </x:c>
      <x:c r="L31" s="101"/>
      <x:c r="R31" s="89"/>
    </x:row>
    <x:row r="32" spans="2:12" ht="21" customHeight="1">
      <x:c r="B32" s="143"/>
      <x:c r="C32" s="101"/>
      <x:c r="D32" s="103"/>
      <x:c r="E32" s="103"/>
      <x:c r="F32" s="104" t="str">
        <x:f>IF(C32&lt;&gt;"",VLOOKUP(C32,명단!$C$4:$F$90,2,FALSE),"")</x:f>
        <x:v/>
      </x:c>
      <x:c r="G32" s="105" t="str">
        <x:f>IF(E32="","",E32-D32)</x:f>
        <x:v/>
      </x:c>
      <x:c r="H32" s="105" t="str">
        <x:f>IF(G32&lt;&gt;"",$H$7,"")</x:f>
        <x:v/>
      </x:c>
      <x:c r="I32" s="106" t="str">
        <x:f>IF(G32&lt;&gt;"",G32/H32,"")</x:f>
        <x:v/>
      </x:c>
      <x:c r="J32" s="153"/>
      <x:c r="K32" s="107" t="str">
        <x:f>IF(C32&lt;&gt;"","완료","")</x:f>
        <x:v/>
      </x:c>
      <x:c r="L32" s="101"/>
    </x:row>
    <x:row r="33" spans="2:12" ht="19.5" customHeight="1">
      <x:c r="B33" s="143"/>
      <x:c r="C33" s="101"/>
      <x:c r="D33" s="103"/>
      <x:c r="E33" s="103"/>
      <x:c r="F33" s="104" t="str">
        <x:f>IF(C33&lt;&gt;"",VLOOKUP(C33,명단!$C$4:$F$90,2,FALSE),"")</x:f>
        <x:v/>
      </x:c>
      <x:c r="G33" s="105" t="str">
        <x:f>IF(E33="","",E33-D33)</x:f>
        <x:v/>
      </x:c>
      <x:c r="H33" s="105" t="str">
        <x:f>IF(G33&lt;&gt;"",$H$7,"")</x:f>
        <x:v/>
      </x:c>
      <x:c r="I33" s="106" t="str">
        <x:f>IF(G33&lt;&gt;"",G33/H33,"")</x:f>
        <x:v/>
      </x:c>
      <x:c r="J33" s="153"/>
      <x:c r="K33" s="107" t="str">
        <x:f>IF(C33&lt;&gt;"","완료","")</x:f>
        <x:v/>
      </x:c>
      <x:c r="L33" s="101"/>
    </x:row>
    <x:row r="34" spans="2:12" ht="19.5" customHeight="1">
      <x:c r="B34" s="143"/>
      <x:c r="C34" s="101"/>
      <x:c r="D34" s="103"/>
      <x:c r="E34" s="103"/>
      <x:c r="F34" s="104" t="str">
        <x:f>IF(C34&lt;&gt;"",VLOOKUP(C34,명단!$C$4:$F$90,2,FALSE),"")</x:f>
        <x:v/>
      </x:c>
      <x:c r="G34" s="105" t="str">
        <x:f>IF(E34="","",E34-D34)</x:f>
        <x:v/>
      </x:c>
      <x:c r="H34" s="105" t="str">
        <x:f>IF(G34&lt;&gt;"",$H$7,"")</x:f>
        <x:v/>
      </x:c>
      <x:c r="I34" s="106" t="str">
        <x:f>IF(G34&lt;&gt;"",G34/H34,"")</x:f>
        <x:v/>
      </x:c>
      <x:c r="J34" s="153"/>
      <x:c r="K34" s="107" t="str">
        <x:f>IF(C34&lt;&gt;"","완료","")</x:f>
        <x:v/>
      </x:c>
      <x:c r="L34" s="101"/>
    </x:row>
    <x:row r="35" spans="1:18" s="11" customFormat="1" ht="19.5" customHeight="1">
      <x:c r="A35" s="9"/>
      <x:c r="B35" s="133" t="s">
        <x:v>15</x:v>
      </x:c>
      <x:c r="C35" s="101"/>
      <x:c r="D35" s="103"/>
      <x:c r="E35" s="103"/>
      <x:c r="F35" s="104" t="str">
        <x:f>IF(C35&lt;&gt;"",VLOOKUP(C35,명단!$C$4:$F$90,2,FALSE),"")</x:f>
        <x:v/>
      </x:c>
      <x:c r="G35" s="105">
        <x:f>SUM(G7:G25)</x:f>
        <x:v>23845</x:v>
      </x:c>
      <x:c r="H35" s="105">
        <x:f>SUM(H7:H25)</x:f>
        <x:v>13660</x:v>
      </x:c>
      <x:c r="I35" s="106">
        <x:f>IF(G35&lt;&gt;"",G35/H35,"")</x:f>
        <x:v>1.7456076134699854</x:v>
      </x:c>
      <x:c r="J35" s="153"/>
      <x:c r="K35" s="107"/>
      <x:c r="L35" s="101"/>
      <x:c r="R35" s="89"/>
    </x:row>
    <x:row r="36" spans="1:18" s="11" customFormat="1" ht="19.5" customHeight="1">
      <x:c r="A36" s="9"/>
      <x:c r="B36" s="143"/>
      <x:c r="C36" s="101"/>
      <x:c r="D36" s="103"/>
      <x:c r="E36" s="103"/>
      <x:c r="F36" s="104" t="str">
        <x:f>IF(C36&lt;&gt;"",VLOOKUP(C36,명단!$C$4:$F$90,2,FALSE),"")</x:f>
        <x:v/>
      </x:c>
      <x:c r="G36" s="105" t="str">
        <x:f>IF(E36="","",E36-D36)</x:f>
        <x:v/>
      </x:c>
      <x:c r="H36" s="105" t="str">
        <x:f>IF(G36&lt;&gt;"",$H$7,"")</x:f>
        <x:v/>
      </x:c>
      <x:c r="I36" s="106" t="str">
        <x:f>IF(G36&lt;&gt;"",G36/H36,"")</x:f>
        <x:v/>
      </x:c>
      <x:c r="J36" s="153"/>
      <x:c r="K36" s="107" t="str">
        <x:f>IF(C36&lt;&gt;"","완료","")</x:f>
        <x:v/>
      </x:c>
      <x:c r="L36" s="101"/>
      <x:c r="R36" s="89"/>
    </x:row>
    <x:row r="37" spans="2:12" ht="19.5" customHeight="1">
      <x:c r="B37" s="133" t="s">
        <x:v>91</x:v>
      </x:c>
      <x:c r="C37" s="133"/>
      <x:c r="D37" s="133"/>
      <x:c r="E37" s="133"/>
      <x:c r="F37" s="133"/>
      <x:c r="G37" s="135">
        <x:f>G35+'3'!G37</x:f>
        <x:v>163340</x:v>
      </x:c>
      <x:c r="H37" s="135">
        <x:f>H35+'3'!H37</x:f>
        <x:v>92660</x:v>
      </x:c>
      <x:c r="I37" s="136">
        <x:f>IF(H37&lt;&gt;0,G37/H37,0)</x:f>
        <x:v>1.762788689833801</x:v>
      </x:c>
      <x:c r="J37" s="134"/>
      <x:c r="K37" s="133"/>
      <x:c r="L37" s="133"/>
    </x:row>
    <x:row r="38" spans="7:9" ht="11.25" customHeight="1">
      <x:c r="G38" s="3"/>
      <x:c r="H38" s="16"/>
      <x:c r="I38" s="20"/>
    </x:row>
    <x:row r="39" spans="2:9" ht="19.5" customHeight="1">
      <x:c r="B39" s="101" t="s">
        <x:v>11</x:v>
      </x:c>
      <x:c r="C39" s="129">
        <x:v>7030</x:v>
      </x:c>
      <x:c r="D39" s="27"/>
      <x:c r="E39" s="27"/>
      <x:c r="F39" s="27"/>
      <x:c r="G39" s="138">
        <x:v>2760</x:v>
      </x:c>
      <x:c r="H39" s="131">
        <x:f>G39/I39</x:f>
        <x:v>1559.3220338983051</x:v>
      </x:c>
      <x:c r="I39" s="160">
        <x:v>1.77</x:v>
      </x:c>
    </x:row>
    <x:row r="40" ht="11.25" customHeight="1"/>
    <x:row r="41" spans="1:18" s="11" customFormat="1" ht="19.5" customHeight="1">
      <x:c r="A41" s="9"/>
      <x:c r="J41" s="145"/>
      <x:c r="R41" s="89"/>
    </x:row>
    <x:row r="42" spans="1:18" s="11" customFormat="1" ht="19.5" customHeight="1">
      <x:c r="A42" s="9"/>
      <x:c r="G42" s="62"/>
      <x:c r="H42" s="62"/>
      <x:c r="I42" s="62"/>
      <x:c r="J42" s="145"/>
      <x:c r="R42" s="89"/>
    </x:row>
    <x:row r="43" spans="7:9" ht="19.5" customHeight="1">
      <x:c r="G43" s="62"/>
      <x:c r="H43" s="62"/>
      <x:c r="I43" s="62"/>
    </x:row>
    <x:row r="44" spans="7:9" ht="28.5" customHeight="1">
      <x:c r="G44" s="62"/>
      <x:c r="H44" s="62"/>
      <x:c r="I44" s="62"/>
    </x:row>
    <x:row r="45" spans="7:9" ht="28.5" customHeight="1">
      <x:c r="G45" s="62"/>
      <x:c r="H45" s="62"/>
      <x:c r="I45" s="62"/>
    </x:row>
    <x:row r="46" spans="7:9" ht="28.5" customHeight="1">
      <x:c r="G46" s="62"/>
      <x:c r="H46" s="62"/>
      <x:c r="I46" s="62"/>
    </x:row>
    <x:row r="47" spans="7:9" ht="28.5" customHeight="1">
      <x:c r="G47" s="62"/>
      <x:c r="H47" s="62"/>
      <x:c r="I47" s="62"/>
    </x:row>
    <x:row r="48" spans="7:9" ht="22.5" customHeight="1">
      <x:c r="G48" s="62"/>
      <x:c r="H48" s="62"/>
      <x:c r="I48" s="62"/>
    </x:row>
    <x:row r="49" spans="7:9">
      <x:c r="G49" s="62"/>
      <x:c r="H49" s="62"/>
      <x:c r="I49" s="62"/>
    </x:row>
    <x:row r="50" spans="7:9">
      <x:c r="G50" s="62"/>
      <x:c r="H50" s="62"/>
      <x:c r="I50" s="62"/>
    </x:row>
    <x:row r="51" spans="7:9">
      <x:c r="G51" s="62"/>
      <x:c r="H51" s="62"/>
      <x:c r="I51" s="62"/>
    </x:row>
  </x:sheetData>
  <x:sortState columnSort="0" caseSensitive="0" ref="C8:I10">
    <x:sortCondition descending="0" sortBy="value" ref="H8:H10"/>
  </x:sortState>
  <x:mergeCells count="16">
    <x:mergeCell ref="B2:L2"/>
    <x:mergeCell ref="B4:C4"/>
    <x:mergeCell ref="N7:Q8"/>
    <x:mergeCell ref="N9:Q9"/>
    <x:mergeCell ref="O10:Q10"/>
    <x:mergeCell ref="O12:Q12"/>
    <x:mergeCell ref="O13:Q13"/>
    <x:mergeCell ref="O14:P14"/>
    <x:mergeCell ref="O15:P15"/>
    <x:mergeCell ref="O16:P16"/>
    <x:mergeCell ref="O17:P17"/>
    <x:mergeCell ref="O18:P18"/>
    <x:mergeCell ref="N20:Q20"/>
    <x:mergeCell ref="N22:Q22"/>
    <x:mergeCell ref="N24:Q24"/>
    <x:mergeCell ref="N26:Q26"/>
  </x:mergeCells>
  <x:printOptions horizontalCentered="1" verticalCentered="1" headings="0" gridLines="0" gridLinesSet="1"/>
  <x:pageMargins left="0.39375001192092896" right="0.39375001192092896" top="0.39375001192092896" bottom="0.39375001192092896" header="0.39375001192092896" footer="0.39375001192092896"/>
  <x:pageSetup paperSize="9" scale="100" firstPageNumber="1" fitToWidth="1" fitToHeight="1" orientation="portrait" usePrinterDefaults="1" blackAndWhite="0" draft="0" useFirstPageNumber="0" horizontalDpi="0" verticalDpi="0" copies="1"/>
  <x:drawing r:id="rId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7"/>
  <x:dimension ref="A1:G95"/>
  <x:sheetViews>
    <x:sheetView topLeftCell="A40" zoomScaleNormal="100" zoomScaleSheetLayoutView="75" workbookViewId="0">
      <x:selection activeCell="H74" activeCellId="0" sqref="H74:H74"/>
    </x:sheetView>
  </x:sheetViews>
  <x:sheetFormatPr defaultColWidth="9.00390625" defaultRowHeight="16.399999999999999"/>
  <x:cols>
    <x:col min="1" max="1" width="2.75" style="6" customWidth="1"/>
    <x:col min="2" max="2" width="8.2265625" style="7" bestFit="1" customWidth="1"/>
    <x:col min="3" max="3" width="9.00390625" style="5" bestFit="1" customWidth="1"/>
    <x:col min="4" max="4" width="8.73046875" style="5" bestFit="1" customWidth="1"/>
    <x:col min="5" max="5" width="14.9296875" style="7" bestFit="1" customWidth="1"/>
    <x:col min="6" max="6" width="8.125" style="7" customWidth="1"/>
    <x:col min="7" max="7" width="2.75" style="7" customWidth="1"/>
    <x:col min="8" max="8" width="2.875" style="5" customWidth="1"/>
  </x:cols>
  <x:sheetData>
    <x:row r="1" spans="1:1">
      <x:c r="A1" s="5"/>
    </x:row>
    <x:row r="2" spans="1:6" ht="26.25" customHeight="1">
      <x:c r="A2" s="5"/>
      <x:c r="B2" s="246" t="s">
        <x:v>193</x:v>
      </x:c>
      <x:c r="C2" s="246"/>
      <x:c r="D2" s="246"/>
      <x:c r="E2" s="246"/>
      <x:c r="F2" s="246"/>
    </x:row>
    <x:row r="3" spans="1:6">
      <x:c r="A3" s="5"/>
      <x:c r="B3" s="18" t="s">
        <x:v>105</x:v>
      </x:c>
      <x:c r="C3" s="18" t="s">
        <x:v>144</x:v>
      </x:c>
      <x:c r="D3" s="18" t="s">
        <x:v>73</x:v>
      </x:c>
      <x:c r="E3" s="18" t="s">
        <x:v>147</x:v>
      </x:c>
      <x:c r="F3" s="18" t="s">
        <x:v>21</x:v>
      </x:c>
    </x:row>
    <x:row r="4" spans="1:6">
      <x:c r="A4" s="5"/>
      <x:c r="B4" s="14">
        <x:v>1</x:v>
      </x:c>
      <x:c r="C4" s="26">
        <x:v>1027</x:v>
      </x:c>
      <x:c r="D4" s="26" t="s">
        <x:v>40</x:v>
      </x:c>
      <x:c r="E4" s="21" t="s">
        <x:v>192</x:v>
      </x:c>
      <x:c r="F4" s="12"/>
    </x:row>
    <x:row r="5" spans="2:6">
      <x:c r="B5" s="12">
        <x:f>B4+1</x:f>
        <x:v>2</x:v>
      </x:c>
      <x:c r="C5" s="19">
        <x:v>1041</x:v>
      </x:c>
      <x:c r="D5" s="19" t="s">
        <x:v>80</x:v>
      </x:c>
      <x:c r="E5" s="21">
        <x:v>1054919895</x:v>
      </x:c>
      <x:c r="F5" s="12"/>
    </x:row>
    <x:row r="6" spans="2:6">
      <x:c r="B6" s="12">
        <x:f>B5+1</x:f>
        <x:v>3</x:v>
      </x:c>
      <x:c r="C6" s="19">
        <x:v>1071</x:v>
      </x:c>
      <x:c r="D6" s="19" t="s">
        <x:v>44</x:v>
      </x:c>
      <x:c r="E6" s="22">
        <x:v>1054055070</x:v>
      </x:c>
      <x:c r="F6" s="12"/>
    </x:row>
    <x:row r="7" spans="2:6">
      <x:c r="B7" s="12">
        <x:f>B6+1</x:f>
        <x:v>4</x:v>
      </x:c>
      <x:c r="C7" s="17">
        <x:v>1267</x:v>
      </x:c>
      <x:c r="D7" s="17" t="s">
        <x:v>41</x:v>
      </x:c>
      <x:c r="E7" s="22">
        <x:v>1088227706</x:v>
      </x:c>
      <x:c r="F7" s="12"/>
    </x:row>
    <x:row r="8" spans="2:6">
      <x:c r="B8" s="12">
        <x:f>B7+1</x:f>
        <x:v>5</x:v>
      </x:c>
      <x:c r="C8" s="12">
        <x:v>1294</x:v>
      </x:c>
      <x:c r="D8" s="12" t="s">
        <x:v>27</x:v>
      </x:c>
      <x:c r="E8" s="22">
        <x:v>1044761566</x:v>
      </x:c>
      <x:c r="F8" s="12"/>
    </x:row>
    <x:row r="9" spans="2:6">
      <x:c r="B9" s="12">
        <x:f>B8+1</x:f>
        <x:v>6</x:v>
      </x:c>
      <x:c r="C9" s="17">
        <x:v>1340</x:v>
      </x:c>
      <x:c r="D9" s="17" t="s">
        <x:v>31</x:v>
      </x:c>
      <x:c r="E9" s="22">
        <x:v>1035826059</x:v>
      </x:c>
      <x:c r="F9" s="12"/>
    </x:row>
    <x:row r="10" spans="2:6">
      <x:c r="B10" s="12">
        <x:f>B9+1</x:f>
        <x:v>7</x:v>
      </x:c>
      <x:c r="C10" s="12">
        <x:v>1509</x:v>
      </x:c>
      <x:c r="D10" s="12" t="s">
        <x:v>70</x:v>
      </x:c>
      <x:c r="E10" s="22">
        <x:v>1054615865</x:v>
      </x:c>
      <x:c r="F10" s="12"/>
    </x:row>
    <x:row r="11" spans="2:6">
      <x:c r="B11" s="12">
        <x:f>B10+1</x:f>
        <x:v>8</x:v>
      </x:c>
      <x:c r="C11" s="17">
        <x:v>1523</x:v>
      </x:c>
      <x:c r="D11" s="17" t="s">
        <x:v>55</x:v>
      </x:c>
      <x:c r="E11" s="22">
        <x:v>1054614075</x:v>
      </x:c>
      <x:c r="F11" s="12"/>
    </x:row>
    <x:row r="12" spans="2:6">
      <x:c r="B12" s="12">
        <x:f>B11+1</x:f>
        <x:v>9</x:v>
      </x:c>
      <x:c r="C12" s="17">
        <x:v>1992</x:v>
      </x:c>
      <x:c r="D12" s="17" t="s">
        <x:v>112</x:v>
      </x:c>
      <x:c r="E12" s="22">
        <x:v>1091786857</x:v>
      </x:c>
      <x:c r="F12" s="12"/>
    </x:row>
    <x:row r="13" spans="2:6">
      <x:c r="B13" s="12">
        <x:f>B12+1</x:f>
        <x:v>10</x:v>
      </x:c>
      <x:c r="C13" s="17">
        <x:v>2504</x:v>
      </x:c>
      <x:c r="D13" s="17" t="s">
        <x:v>98</x:v>
      </x:c>
      <x:c r="E13" s="22">
        <x:v>1054025717</x:v>
      </x:c>
      <x:c r="F13" s="12"/>
    </x:row>
    <x:row r="14" spans="2:6">
      <x:c r="B14" s="12">
        <x:f>B13+1</x:f>
        <x:v>11</x:v>
      </x:c>
      <x:c r="C14" s="17">
        <x:v>2565</x:v>
      </x:c>
      <x:c r="D14" s="17" t="s">
        <x:v>48</x:v>
      </x:c>
      <x:c r="E14" s="22">
        <x:v>1054916075</x:v>
      </x:c>
      <x:c r="F14" s="12"/>
    </x:row>
    <x:row r="15" spans="2:6">
      <x:c r="B15" s="12">
        <x:f>B14+1</x:f>
        <x:v>12</x:v>
      </x:c>
      <x:c r="C15" s="12">
        <x:v>2914</x:v>
      </x:c>
      <x:c r="D15" s="12" t="s">
        <x:v>110</x:v>
      </x:c>
      <x:c r="E15" s="22">
        <x:v>1089537556</x:v>
      </x:c>
      <x:c r="F15" s="12"/>
    </x:row>
    <x:row r="16" spans="2:6">
      <x:c r="B16" s="12">
        <x:f>B15+1</x:f>
        <x:v>13</x:v>
      </x:c>
      <x:c r="C16" s="19">
        <x:v>3385</x:v>
      </x:c>
      <x:c r="D16" s="19" t="s">
        <x:v>121</x:v>
      </x:c>
      <x:c r="E16" s="22">
        <x:v>1037476238</x:v>
      </x:c>
      <x:c r="F16" s="12"/>
    </x:row>
    <x:row r="17" spans="2:6">
      <x:c r="B17" s="12">
        <x:f>B16+1</x:f>
        <x:v>14</x:v>
      </x:c>
      <x:c r="C17" s="17">
        <x:v>3403</x:v>
      </x:c>
      <x:c r="D17" s="17" t="s">
        <x:v>66</x:v>
      </x:c>
      <x:c r="E17" s="22">
        <x:v>1074346000</x:v>
      </x:c>
      <x:c r="F17" s="12"/>
    </x:row>
    <x:row r="18" spans="2:6">
      <x:c r="B18" s="12">
        <x:f>B17+1</x:f>
        <x:v>15</x:v>
      </x:c>
      <x:c r="C18" s="17">
        <x:v>3447</x:v>
      </x:c>
      <x:c r="D18" s="17" t="s">
        <x:v>35</x:v>
      </x:c>
      <x:c r="E18" s="22">
        <x:v>1063604515</x:v>
      </x:c>
      <x:c r="F18" s="12"/>
    </x:row>
    <x:row r="19" spans="2:6">
      <x:c r="B19" s="12">
        <x:f>B18+1</x:f>
        <x:v>16</x:v>
      </x:c>
      <x:c r="C19" s="17">
        <x:v>3758</x:v>
      </x:c>
      <x:c r="D19" s="17" t="s">
        <x:v>83</x:v>
      </x:c>
      <x:c r="E19" s="22">
        <x:v>1088600519</x:v>
      </x:c>
      <x:c r="F19" s="12"/>
    </x:row>
    <x:row r="20" spans="2:6">
      <x:c r="B20" s="12">
        <x:f>B19+1</x:f>
        <x:v>17</x:v>
      </x:c>
      <x:c r="C20" s="17">
        <x:v>4109</x:v>
      </x:c>
      <x:c r="D20" s="17" t="s">
        <x:v>38</x:v>
      </x:c>
      <x:c r="E20" s="22">
        <x:v>1052468727</x:v>
      </x:c>
      <x:c r="F20" s="12"/>
    </x:row>
    <x:row r="21" spans="2:7" s="5" customFormat="1">
      <x:c r="B21" s="12">
        <x:f>B20+1</x:f>
        <x:v>18</x:v>
      </x:c>
      <x:c r="C21" s="12">
        <x:v>4156</x:v>
      </x:c>
      <x:c r="D21" s="12" t="s">
        <x:v>69</x:v>
      </x:c>
      <x:c r="E21" s="22">
        <x:v>1054925181</x:v>
      </x:c>
      <x:c r="F21" s="12"/>
      <x:c r="G21" s="7"/>
    </x:row>
    <x:row r="22" spans="2:6">
      <x:c r="B22" s="12">
        <x:f>B21+1</x:f>
        <x:v>19</x:v>
      </x:c>
      <x:c r="C22" s="17">
        <x:v>4230</x:v>
      </x:c>
      <x:c r="D22" s="17" t="s">
        <x:v>49</x:v>
      </x:c>
      <x:c r="E22" s="22">
        <x:v>1033256671</x:v>
      </x:c>
      <x:c r="F22" s="12"/>
    </x:row>
    <x:row r="23" spans="2:6">
      <x:c r="B23" s="12">
        <x:f>B22+1</x:f>
        <x:v>20</x:v>
      </x:c>
      <x:c r="C23" s="17">
        <x:v>4271</x:v>
      </x:c>
      <x:c r="D23" s="17" t="s">
        <x:v>23</x:v>
      </x:c>
      <x:c r="E23" s="22">
        <x:v>1088426830</x:v>
      </x:c>
      <x:c r="F23" s="12"/>
    </x:row>
    <x:row r="24" spans="2:6">
      <x:c r="B24" s="12">
        <x:f>B23+1</x:f>
        <x:v>21</x:v>
      </x:c>
      <x:c r="C24" s="17">
        <x:v>4440</x:v>
      </x:c>
      <x:c r="D24" s="17" t="s">
        <x:v>24</x:v>
      </x:c>
      <x:c r="E24" s="22">
        <x:v>1037593836</x:v>
      </x:c>
      <x:c r="F24" s="12"/>
    </x:row>
    <x:row r="25" spans="2:6">
      <x:c r="B25" s="12">
        <x:f>B24+1</x:f>
        <x:v>22</x:v>
      </x:c>
      <x:c r="C25" s="17">
        <x:v>4451</x:v>
      </x:c>
      <x:c r="D25" s="17" t="s">
        <x:v>86</x:v>
      </x:c>
      <x:c r="E25" s="22">
        <x:v>1095022889</x:v>
      </x:c>
      <x:c r="F25" s="12"/>
    </x:row>
    <x:row r="26" spans="2:6">
      <x:c r="B26" s="12">
        <x:f>B25+1</x:f>
        <x:v>23</x:v>
      </x:c>
      <x:c r="C26" s="19">
        <x:v>4510</x:v>
      </x:c>
      <x:c r="D26" s="17" t="s">
        <x:v>71</x:v>
      </x:c>
      <x:c r="E26" s="22">
        <x:v>1066246255</x:v>
      </x:c>
      <x:c r="F26" s="12"/>
    </x:row>
    <x:row r="27" spans="2:6">
      <x:c r="B27" s="12">
        <x:f>B26+1</x:f>
        <x:v>24</x:v>
      </x:c>
      <x:c r="C27" s="17">
        <x:v>4550</x:v>
      </x:c>
      <x:c r="D27" s="17" t="s">
        <x:v>119</x:v>
      </x:c>
      <x:c r="E27" s="22">
        <x:v>1034090619</x:v>
      </x:c>
      <x:c r="F27" s="12"/>
    </x:row>
    <x:row r="28" spans="1:6">
      <x:c r="A28" s="5"/>
      <x:c r="B28" s="12">
        <x:f>B27+1</x:f>
        <x:v>25</x:v>
      </x:c>
      <x:c r="C28" s="19">
        <x:v>5021</x:v>
      </x:c>
      <x:c r="D28" s="19" t="s">
        <x:v>123</x:v>
      </x:c>
      <x:c r="E28" s="21">
        <x:v>1054692173</x:v>
      </x:c>
      <x:c r="F28" s="12"/>
    </x:row>
    <x:row r="29" spans="1:6">
      <x:c r="A29" s="5"/>
      <x:c r="B29" s="12">
        <x:f>B28+1</x:f>
        <x:v>26</x:v>
      </x:c>
      <x:c r="C29" s="17">
        <x:v>5503</x:v>
      </x:c>
      <x:c r="D29" s="17" t="s">
        <x:v>115</x:v>
      </x:c>
      <x:c r="E29" s="21">
        <x:v>1046407114</x:v>
      </x:c>
      <x:c r="F29" s="12"/>
    </x:row>
    <x:row r="30" spans="2:7" s="5" customFormat="1">
      <x:c r="B30" s="12">
        <x:f>B29+1</x:f>
        <x:v>27</x:v>
      </x:c>
      <x:c r="C30" s="17">
        <x:v>5562</x:v>
      </x:c>
      <x:c r="D30" s="17" t="s">
        <x:v>20</x:v>
      </x:c>
      <x:c r="E30" s="21">
        <x:v>1090076911</x:v>
      </x:c>
      <x:c r="F30" s="12"/>
      <x:c r="G30" s="7"/>
    </x:row>
    <x:row r="31" spans="2:7" s="5" customFormat="1">
      <x:c r="B31" s="12">
        <x:f>B30+1</x:f>
        <x:v>28</x:v>
      </x:c>
      <x:c r="C31" s="12">
        <x:v>5579</x:v>
      </x:c>
      <x:c r="D31" s="12" t="s">
        <x:v>47</x:v>
      </x:c>
      <x:c r="E31" s="21">
        <x:v>1054857816</x:v>
      </x:c>
      <x:c r="F31" s="12"/>
      <x:c r="G31" s="7"/>
    </x:row>
    <x:row r="32" spans="2:7" s="5" customFormat="1">
      <x:c r="B32" s="12">
        <x:f>B31+1</x:f>
        <x:v>29</x:v>
      </x:c>
      <x:c r="C32" s="17">
        <x:v>5615</x:v>
      </x:c>
      <x:c r="D32" s="17" t="s">
        <x:v>114</x:v>
      </x:c>
      <x:c r="E32" s="21">
        <x:v>1071651178</x:v>
      </x:c>
      <x:c r="F32" s="12"/>
      <x:c r="G32" s="7"/>
    </x:row>
    <x:row r="33" spans="2:7" s="5" customFormat="1">
      <x:c r="B33" s="12">
        <x:f>B32+1</x:f>
        <x:v>30</x:v>
      </x:c>
      <x:c r="C33" s="17">
        <x:v>5619</x:v>
      </x:c>
      <x:c r="D33" s="17" t="s">
        <x:v>16</x:v>
      </x:c>
      <x:c r="E33" s="21">
        <x:v>1092273844</x:v>
      </x:c>
      <x:c r="F33" s="12"/>
      <x:c r="G33" s="7"/>
    </x:row>
    <x:row r="34" spans="2:7" s="5" customFormat="1">
      <x:c r="B34" s="12">
        <x:f>B33+1</x:f>
        <x:v>31</x:v>
      </x:c>
      <x:c r="C34" s="17">
        <x:v>5658</x:v>
      </x:c>
      <x:c r="D34" s="17" t="s">
        <x:v>10</x:v>
      </x:c>
      <x:c r="E34" s="21">
        <x:v>1090084045</x:v>
      </x:c>
      <x:c r="F34" s="12"/>
      <x:c r="G34" s="7"/>
    </x:row>
    <x:row r="35" spans="2:7" s="5" customFormat="1">
      <x:c r="B35" s="12">
        <x:f>B34+1</x:f>
        <x:v>32</x:v>
      </x:c>
      <x:c r="C35" s="17">
        <x:v>5673</x:v>
      </x:c>
      <x:c r="D35" s="17" t="s">
        <x:v>72</x:v>
      </x:c>
      <x:c r="E35" s="21">
        <x:v>1031768388</x:v>
      </x:c>
      <x:c r="F35" s="12"/>
      <x:c r="G35" s="7"/>
    </x:row>
    <x:row r="36" spans="2:7" s="5" customFormat="1">
      <x:c r="B36" s="12">
        <x:f>B35+1</x:f>
        <x:v>33</x:v>
      </x:c>
      <x:c r="C36" s="19">
        <x:v>5704</x:v>
      </x:c>
      <x:c r="D36" s="19" t="s">
        <x:v>74</x:v>
      </x:c>
      <x:c r="E36" s="21">
        <x:v>1031779151</x:v>
      </x:c>
      <x:c r="F36" s="12"/>
      <x:c r="G36" s="7"/>
    </x:row>
    <x:row r="37" spans="2:7" s="5" customFormat="1">
      <x:c r="B37" s="12">
        <x:f>B36+1</x:f>
        <x:v>34</x:v>
      </x:c>
      <x:c r="C37" s="17">
        <x:v>5749</x:v>
      </x:c>
      <x:c r="D37" s="17" t="s">
        <x:v>65</x:v>
      </x:c>
      <x:c r="E37" s="21">
        <x:v>1054628306</x:v>
      </x:c>
      <x:c r="F37" s="12"/>
      <x:c r="G37" s="7"/>
    </x:row>
    <x:row r="38" spans="2:7" s="5" customFormat="1">
      <x:c r="B38" s="12">
        <x:f>B37+1</x:f>
        <x:v>35</x:v>
      </x:c>
      <x:c r="C38" s="17">
        <x:v>5755</x:v>
      </x:c>
      <x:c r="D38" s="17" t="s">
        <x:v>28</x:v>
      </x:c>
      <x:c r="E38" s="21">
        <x:v>1074149987</x:v>
      </x:c>
      <x:c r="F38" s="12"/>
      <x:c r="G38" s="7"/>
    </x:row>
    <x:row r="39" spans="2:7" s="5" customFormat="1">
      <x:c r="B39" s="12">
        <x:f>B38+1</x:f>
        <x:v>36</x:v>
      </x:c>
      <x:c r="C39" s="17">
        <x:v>5784</x:v>
      </x:c>
      <x:c r="D39" s="17" t="s">
        <x:v>61</x:v>
      </x:c>
      <x:c r="E39" s="21">
        <x:v>1033640343</x:v>
      </x:c>
      <x:c r="F39" s="12"/>
      <x:c r="G39" s="7"/>
    </x:row>
    <x:row r="40" spans="2:7" s="5" customFormat="1">
      <x:c r="B40" s="12">
        <x:f>B39+1</x:f>
        <x:v>37</x:v>
      </x:c>
      <x:c r="C40" s="19">
        <x:v>5815</x:v>
      </x:c>
      <x:c r="D40" s="19" t="s">
        <x:v>88</x:v>
      </x:c>
      <x:c r="E40" s="21">
        <x:v>1023251760</x:v>
      </x:c>
      <x:c r="F40" s="12"/>
      <x:c r="G40" s="7"/>
    </x:row>
    <x:row r="41" spans="2:7" s="5" customFormat="1">
      <x:c r="B41" s="12">
        <x:f>B40+1</x:f>
        <x:v>38</x:v>
      </x:c>
      <x:c r="C41" s="17">
        <x:v>5831</x:v>
      </x:c>
      <x:c r="D41" s="17" t="s">
        <x:v>117</x:v>
      </x:c>
      <x:c r="E41" s="21">
        <x:v>1054683485</x:v>
      </x:c>
      <x:c r="F41" s="12"/>
      <x:c r="G41" s="7"/>
    </x:row>
    <x:row r="42" spans="2:7" s="5" customFormat="1">
      <x:c r="B42" s="12">
        <x:f>B41+1</x:f>
        <x:v>39</x:v>
      </x:c>
      <x:c r="C42" s="17">
        <x:v>5870</x:v>
      </x:c>
      <x:c r="D42" s="17" t="s">
        <x:v>76</x:v>
      </x:c>
      <x:c r="E42" s="21">
        <x:v>1092464411</x:v>
      </x:c>
      <x:c r="F42" s="12"/>
      <x:c r="G42" s="7"/>
    </x:row>
    <x:row r="43" spans="2:7" s="5" customFormat="1">
      <x:c r="B43" s="12">
        <x:f>B42+1</x:f>
        <x:v>40</x:v>
      </x:c>
      <x:c r="C43" s="19">
        <x:v>5879</x:v>
      </x:c>
      <x:c r="D43" s="19" t="s">
        <x:v>42</x:v>
      </x:c>
      <x:c r="E43" s="21">
        <x:v>1054659834</x:v>
      </x:c>
      <x:c r="F43" s="12"/>
      <x:c r="G43" s="7"/>
    </x:row>
    <x:row r="44" spans="2:7" s="5" customFormat="1">
      <x:c r="B44" s="12">
        <x:f>B43+1</x:f>
        <x:v>41</x:v>
      </x:c>
      <x:c r="C44" s="12">
        <x:v>5880</x:v>
      </x:c>
      <x:c r="D44" s="12" t="s">
        <x:v>36</x:v>
      </x:c>
      <x:c r="E44" s="21">
        <x:v>1054653695</x:v>
      </x:c>
      <x:c r="F44" s="12"/>
      <x:c r="G44" s="7"/>
    </x:row>
    <x:row r="45" spans="2:7" s="5" customFormat="1">
      <x:c r="B45" s="12">
        <x:f>B44+1</x:f>
        <x:v>42</x:v>
      </x:c>
      <x:c r="C45" s="17">
        <x:v>5911</x:v>
      </x:c>
      <x:c r="D45" s="17" t="s">
        <x:v>101</x:v>
      </x:c>
      <x:c r="E45" s="21">
        <x:v>1054626406</x:v>
      </x:c>
      <x:c r="F45" s="12"/>
      <x:c r="G45" s="7"/>
    </x:row>
    <x:row r="46" spans="2:7" s="5" customFormat="1">
      <x:c r="B46" s="12">
        <x:f>B45+1</x:f>
        <x:v>43</x:v>
      </x:c>
      <x:c r="C46" s="17">
        <x:v>5920</x:v>
      </x:c>
      <x:c r="D46" s="17" t="s">
        <x:v>17</x:v>
      </x:c>
      <x:c r="E46" s="21">
        <x:v>1054650265</x:v>
      </x:c>
      <x:c r="F46" s="12"/>
      <x:c r="G46" s="7"/>
    </x:row>
    <x:row r="47" spans="2:7" s="5" customFormat="1">
      <x:c r="B47" s="12">
        <x:f>B46+1</x:f>
        <x:v>44</x:v>
      </x:c>
      <x:c r="C47" s="17">
        <x:v>5957</x:v>
      </x:c>
      <x:c r="D47" s="17" t="s">
        <x:v>95</x:v>
      </x:c>
      <x:c r="E47" s="21">
        <x:v>1043557673</x:v>
      </x:c>
      <x:c r="F47" s="12"/>
      <x:c r="G47" s="7"/>
    </x:row>
    <x:row r="48" spans="2:7" s="5" customFormat="1">
      <x:c r="B48" s="12">
        <x:f>B47+1</x:f>
        <x:v>45</x:v>
      </x:c>
      <x:c r="C48" s="17">
        <x:v>5970</x:v>
      </x:c>
      <x:c r="D48" s="17" t="s">
        <x:v>81</x:v>
      </x:c>
      <x:c r="E48" s="21">
        <x:v>1026675322</x:v>
      </x:c>
      <x:c r="F48" s="12"/>
      <x:c r="G48" s="7"/>
    </x:row>
    <x:row r="49" spans="2:7" s="5" customFormat="1">
      <x:c r="B49" s="12">
        <x:f>B48+1</x:f>
        <x:v>46</x:v>
      </x:c>
      <x:c r="C49" s="17">
        <x:v>6051</x:v>
      </x:c>
      <x:c r="D49" s="17" t="s">
        <x:v>57</x:v>
      </x:c>
      <x:c r="E49" s="21">
        <x:v>1096747009</x:v>
      </x:c>
      <x:c r="F49" s="12"/>
      <x:c r="G49" s="7"/>
    </x:row>
    <x:row r="50" spans="2:7" s="5" customFormat="1">
      <x:c r="B50" s="12">
        <x:f>B49+1</x:f>
        <x:v>47</x:v>
      </x:c>
      <x:c r="C50" s="17">
        <x:v>6219</x:v>
      </x:c>
      <x:c r="D50" s="17" t="s">
        <x:v>60</x:v>
      </x:c>
      <x:c r="E50" s="21">
        <x:v>1054537608</x:v>
      </x:c>
      <x:c r="F50" s="12"/>
      <x:c r="G50" s="7"/>
    </x:row>
    <x:row r="51" spans="2:7" s="5" customFormat="1">
      <x:c r="B51" s="12">
        <x:f>B50+1</x:f>
        <x:v>48</x:v>
      </x:c>
      <x:c r="C51" s="17">
        <x:v>6282</x:v>
      </x:c>
      <x:c r="D51" s="17" t="s">
        <x:v>107</x:v>
      </x:c>
      <x:c r="E51" s="21" t="s">
        <x:v>195</x:v>
      </x:c>
      <x:c r="F51" s="12"/>
      <x:c r="G51" s="7"/>
    </x:row>
    <x:row r="52" spans="2:7" s="5" customFormat="1">
      <x:c r="B52" s="12">
        <x:f>B51+1</x:f>
        <x:v>49</x:v>
      </x:c>
      <x:c r="C52" s="17">
        <x:v>6456</x:v>
      </x:c>
      <x:c r="D52" s="17" t="s">
        <x:v>45</x:v>
      </x:c>
      <x:c r="E52" s="21">
        <x:v>1044016500</x:v>
      </x:c>
      <x:c r="F52" s="12"/>
      <x:c r="G52" s="7"/>
    </x:row>
    <x:row r="53" spans="2:7" s="5" customFormat="1">
      <x:c r="B53" s="12">
        <x:f>B52+1</x:f>
        <x:v>50</x:v>
      </x:c>
      <x:c r="C53" s="17">
        <x:v>6524</x:v>
      </x:c>
      <x:c r="D53" s="17" t="s">
        <x:v>113</x:v>
      </x:c>
      <x:c r="E53" s="21">
        <x:v>1054593824</x:v>
      </x:c>
      <x:c r="F53" s="12"/>
      <x:c r="G53" s="7"/>
    </x:row>
    <x:row r="54" spans="2:7" s="5" customFormat="1">
      <x:c r="B54" s="12">
        <x:f>B53+1</x:f>
        <x:v>51</x:v>
      </x:c>
      <x:c r="C54" s="17">
        <x:v>6680</x:v>
      </x:c>
      <x:c r="D54" s="17" t="s">
        <x:v>43</x:v>
      </x:c>
      <x:c r="E54" s="21">
        <x:v>1054493698</x:v>
      </x:c>
      <x:c r="F54" s="12"/>
      <x:c r="G54" s="7"/>
    </x:row>
    <x:row r="55" spans="2:7" s="5" customFormat="1">
      <x:c r="B55" s="12">
        <x:f>B54+1</x:f>
        <x:v>52</x:v>
      </x:c>
      <x:c r="C55" s="17">
        <x:v>6708</x:v>
      </x:c>
      <x:c r="D55" s="17" t="s">
        <x:v>34</x:v>
      </x:c>
      <x:c r="E55" s="21">
        <x:v>1054879241</x:v>
      </x:c>
      <x:c r="F55" s="12"/>
      <x:c r="G55" s="7"/>
    </x:row>
    <x:row r="56" spans="2:7" s="5" customFormat="1">
      <x:c r="B56" s="12">
        <x:f>B55+1</x:f>
        <x:v>53</x:v>
      </x:c>
      <x:c r="C56" s="19">
        <x:v>6762</x:v>
      </x:c>
      <x:c r="D56" s="19" t="s">
        <x:v>52</x:v>
      </x:c>
      <x:c r="E56" s="21">
        <x:v>1033698759</x:v>
      </x:c>
      <x:c r="F56" s="12"/>
      <x:c r="G56" s="7"/>
    </x:row>
    <x:row r="57" spans="2:7" s="5" customFormat="1">
      <x:c r="B57" s="12">
        <x:f>B56+1</x:f>
        <x:v>54</x:v>
      </x:c>
      <x:c r="C57" s="17">
        <x:v>6797</x:v>
      </x:c>
      <x:c r="D57" s="17" t="s">
        <x:v>92</x:v>
      </x:c>
      <x:c r="E57" s="21">
        <x:v>1067046797</x:v>
      </x:c>
      <x:c r="F57" s="12"/>
      <x:c r="G57" s="7"/>
    </x:row>
    <x:row r="58" spans="2:7" s="5" customFormat="1">
      <x:c r="B58" s="12">
        <x:f>B57+1</x:f>
        <x:v>55</x:v>
      </x:c>
      <x:c r="C58" s="17">
        <x:v>7000</x:v>
      </x:c>
      <x:c r="D58" s="17" t="s">
        <x:v>51</x:v>
      </x:c>
      <x:c r="E58" s="21">
        <x:v>1054869541</x:v>
      </x:c>
      <x:c r="F58" s="12"/>
      <x:c r="G58" s="7"/>
    </x:row>
    <x:row r="59" spans="2:7" s="5" customFormat="1">
      <x:c r="B59" s="12">
        <x:f>B58+1</x:f>
        <x:v>56</x:v>
      </x:c>
      <x:c r="C59" s="17">
        <x:v>7030</x:v>
      </x:c>
      <x:c r="D59" s="17" t="s">
        <x:v>100</x:v>
      </x:c>
      <x:c r="E59" s="21" t="s">
        <x:v>194</x:v>
      </x:c>
      <x:c r="F59" s="12"/>
      <x:c r="G59" s="7"/>
    </x:row>
    <x:row r="60" spans="2:7" s="5" customFormat="1">
      <x:c r="B60" s="12">
        <x:f>B59+1</x:f>
        <x:v>57</x:v>
      </x:c>
      <x:c r="C60" s="12">
        <x:v>7071</x:v>
      </x:c>
      <x:c r="D60" s="12" t="s">
        <x:v>89</x:v>
      </x:c>
      <x:c r="E60" s="21">
        <x:v>1090111820</x:v>
      </x:c>
      <x:c r="F60" s="12"/>
      <x:c r="G60" s="7"/>
    </x:row>
    <x:row r="61" spans="2:7" s="5" customFormat="1">
      <x:c r="B61" s="12">
        <x:f>B60+1</x:f>
        <x:v>58</x:v>
      </x:c>
      <x:c r="C61" s="12">
        <x:v>7126</x:v>
      </x:c>
      <x:c r="D61" s="12" t="s">
        <x:v>120</x:v>
      </x:c>
      <x:c r="E61" s="21">
        <x:v>1088833797</x:v>
      </x:c>
      <x:c r="F61" s="12"/>
      <x:c r="G61" s="7"/>
    </x:row>
    <x:row r="62" spans="2:7" s="5" customFormat="1">
      <x:c r="B62" s="12">
        <x:f>B61+1</x:f>
        <x:v>59</x:v>
      </x:c>
      <x:c r="C62" s="12">
        <x:v>7160</x:v>
      </x:c>
      <x:c r="D62" s="12" t="s">
        <x:v>68</x:v>
      </x:c>
      <x:c r="E62" s="21">
        <x:v>1037441678</x:v>
      </x:c>
      <x:c r="F62" s="12"/>
      <x:c r="G62" s="7"/>
    </x:row>
    <x:row r="63" spans="2:7" s="5" customFormat="1">
      <x:c r="B63" s="12">
        <x:f>B62+1</x:f>
        <x:v>60</x:v>
      </x:c>
      <x:c r="C63" s="17">
        <x:v>7202</x:v>
      </x:c>
      <x:c r="D63" s="17" t="s">
        <x:v>96</x:v>
      </x:c>
      <x:c r="E63" s="21">
        <x:v>1087371521</x:v>
      </x:c>
      <x:c r="F63" s="12"/>
      <x:c r="G63" s="7"/>
    </x:row>
    <x:row r="64" spans="2:7" s="5" customFormat="1">
      <x:c r="B64" s="12">
        <x:f>B63+1</x:f>
        <x:v>61</x:v>
      </x:c>
      <x:c r="C64" s="17">
        <x:v>7605</x:v>
      </x:c>
      <x:c r="D64" s="17" t="s">
        <x:v>9</x:v>
      </x:c>
      <x:c r="E64" s="21">
        <x:v>1054613878</x:v>
      </x:c>
      <x:c r="F64" s="12"/>
      <x:c r="G64" s="7"/>
    </x:row>
    <x:row r="65" spans="2:7" s="5" customFormat="1">
      <x:c r="B65" s="12">
        <x:f>B64+1</x:f>
        <x:v>62</x:v>
      </x:c>
      <x:c r="C65" s="12">
        <x:v>7609</x:v>
      </x:c>
      <x:c r="D65" s="12" t="s">
        <x:v>32</x:v>
      </x:c>
      <x:c r="E65" s="21">
        <x:v>1037547094</x:v>
      </x:c>
      <x:c r="F65" s="12"/>
      <x:c r="G65" s="7"/>
    </x:row>
    <x:row r="66" spans="2:7" s="5" customFormat="1">
      <x:c r="B66" s="12">
        <x:f>B65+1</x:f>
        <x:v>63</x:v>
      </x:c>
      <x:c r="C66" s="17">
        <x:v>8383</x:v>
      </x:c>
      <x:c r="D66" s="17" t="s">
        <x:v>53</x:v>
      </x:c>
      <x:c r="E66" s="21" t="s">
        <x:v>189</x:v>
      </x:c>
      <x:c r="F66" s="12"/>
      <x:c r="G66" s="7"/>
    </x:row>
    <x:row r="67" spans="2:7" s="5" customFormat="1">
      <x:c r="B67" s="12">
        <x:f>B66+1</x:f>
        <x:v>64</x:v>
      </x:c>
      <x:c r="C67" s="17">
        <x:v>8712</x:v>
      </x:c>
      <x:c r="D67" s="17" t="s">
        <x:v>46</x:v>
      </x:c>
      <x:c r="E67" s="21">
        <x:v>1054980781</x:v>
      </x:c>
      <x:c r="F67" s="12"/>
      <x:c r="G67" s="7"/>
    </x:row>
    <x:row r="68" spans="2:7" s="5" customFormat="1">
      <x:c r="B68" s="12">
        <x:f>B67+1</x:f>
        <x:v>65</x:v>
      </x:c>
      <x:c r="C68" s="17">
        <x:v>8809</x:v>
      </x:c>
      <x:c r="D68" s="17" t="s">
        <x:v>29</x:v>
      </x:c>
      <x:c r="E68" s="21">
        <x:v>1052031687</x:v>
      </x:c>
      <x:c r="F68" s="12"/>
      <x:c r="G68" s="7"/>
    </x:row>
    <x:row r="69" spans="2:7" s="5" customFormat="1">
      <x:c r="B69" s="12">
        <x:f>B68+1</x:f>
        <x:v>66</x:v>
      </x:c>
      <x:c r="C69" s="17">
        <x:v>9427</x:v>
      </x:c>
      <x:c r="D69" s="17" t="s">
        <x:v>37</x:v>
      </x:c>
      <x:c r="E69" s="21">
        <x:v>1093614218</x:v>
      </x:c>
      <x:c r="F69" s="12"/>
      <x:c r="G69" s="7"/>
    </x:row>
    <x:row r="70" spans="2:7" s="5" customFormat="1">
      <x:c r="B70" s="12">
        <x:f>B69+1</x:f>
        <x:v>67</x:v>
      </x:c>
      <x:c r="C70" s="17">
        <x:v>9448</x:v>
      </x:c>
      <x:c r="D70" s="17" t="s">
        <x:v>96</x:v>
      </x:c>
      <x:c r="E70" s="22">
        <x:v>1087371521</x:v>
      </x:c>
      <x:c r="F70" s="12"/>
      <x:c r="G70" s="7"/>
    </x:row>
    <x:row r="71" spans="2:7" s="5" customFormat="1">
      <x:c r="B71" s="12">
        <x:f>B70+1</x:f>
        <x:v>68</x:v>
      </x:c>
      <x:c r="C71" s="19"/>
      <x:c r="D71" s="19"/>
      <x:c r="E71" s="21"/>
      <x:c r="F71" s="12"/>
      <x:c r="G71" s="7"/>
    </x:row>
    <x:row r="72" spans="2:7" s="5" customFormat="1">
      <x:c r="B72" s="12">
        <x:f>B71+1</x:f>
        <x:v>69</x:v>
      </x:c>
      <x:c r="C72" s="17"/>
      <x:c r="D72" s="17"/>
      <x:c r="E72" s="21"/>
      <x:c r="F72" s="12"/>
      <x:c r="G72" s="7"/>
    </x:row>
    <x:row r="73" spans="2:7" s="5" customFormat="1">
      <x:c r="B73" s="12">
        <x:f>B72+1</x:f>
        <x:v>70</x:v>
      </x:c>
      <x:c r="C73" s="12"/>
      <x:c r="D73" s="12"/>
      <x:c r="E73" s="21"/>
      <x:c r="F73" s="12"/>
      <x:c r="G73" s="7"/>
    </x:row>
    <x:row r="74" spans="2:7" s="5" customFormat="1">
      <x:c r="B74" s="12">
        <x:f>B73+1</x:f>
        <x:v>71</x:v>
      </x:c>
      <x:c r="C74" s="17"/>
      <x:c r="D74" s="17"/>
      <x:c r="E74" s="21"/>
      <x:c r="F74" s="12"/>
      <x:c r="G74" s="7"/>
    </x:row>
    <x:row r="75" spans="2:7" s="5" customFormat="1">
      <x:c r="B75" s="12">
        <x:f>B74+1</x:f>
        <x:v>72</x:v>
      </x:c>
      <x:c r="C75" s="17"/>
      <x:c r="D75" s="17"/>
      <x:c r="E75" s="21"/>
      <x:c r="F75" s="12"/>
      <x:c r="G75" s="7"/>
    </x:row>
    <x:row r="76" spans="2:7" s="5" customFormat="1">
      <x:c r="B76" s="12">
        <x:f>B75+1</x:f>
        <x:v>73</x:v>
      </x:c>
      <x:c r="C76" s="12"/>
      <x:c r="D76" s="12"/>
      <x:c r="E76" s="21"/>
      <x:c r="F76" s="12"/>
      <x:c r="G76" s="7"/>
    </x:row>
    <x:row r="77" spans="2:7" s="5" customFormat="1">
      <x:c r="B77" s="12">
        <x:f>B76+1</x:f>
        <x:v>74</x:v>
      </x:c>
      <x:c r="C77" s="17"/>
      <x:c r="D77" s="17"/>
      <x:c r="E77" s="21"/>
      <x:c r="F77" s="12"/>
      <x:c r="G77" s="7"/>
    </x:row>
    <x:row r="78" spans="2:7" s="5" customFormat="1">
      <x:c r="B78" s="12">
        <x:f>B77+1</x:f>
        <x:v>75</x:v>
      </x:c>
      <x:c r="C78" s="17"/>
      <x:c r="D78" s="63"/>
      <x:c r="E78" s="21"/>
      <x:c r="F78" s="12"/>
      <x:c r="G78" s="7"/>
    </x:row>
    <x:row r="79" spans="2:7" s="5" customFormat="1">
      <x:c r="B79" s="12">
        <x:f>B78+1</x:f>
        <x:v>76</x:v>
      </x:c>
      <x:c r="C79" s="12"/>
      <x:c r="D79" s="12"/>
      <x:c r="E79" s="21"/>
      <x:c r="F79" s="12"/>
      <x:c r="G79" s="7"/>
    </x:row>
    <x:row r="80" spans="2:7" s="5" customFormat="1">
      <x:c r="B80" s="12">
        <x:f>B79+1</x:f>
        <x:v>77</x:v>
      </x:c>
      <x:c r="C80" s="12"/>
      <x:c r="D80" s="12"/>
      <x:c r="E80" s="21"/>
      <x:c r="F80" s="12"/>
      <x:c r="G80" s="7"/>
    </x:row>
    <x:row r="81" spans="2:7" s="5" customFormat="1">
      <x:c r="B81" s="12">
        <x:f>B80+1</x:f>
        <x:v>78</x:v>
      </x:c>
      <x:c r="C81" s="12"/>
      <x:c r="D81" s="12"/>
      <x:c r="E81" s="21"/>
      <x:c r="F81" s="12"/>
      <x:c r="G81" s="7"/>
    </x:row>
    <x:row r="82" spans="2:7" s="5" customFormat="1">
      <x:c r="B82" s="12">
        <x:f>B81+1</x:f>
        <x:v>79</x:v>
      </x:c>
      <x:c r="C82" s="12"/>
      <x:c r="D82" s="12"/>
      <x:c r="E82" s="21"/>
      <x:c r="F82" s="12"/>
      <x:c r="G82" s="7"/>
    </x:row>
    <x:row r="83" spans="2:7" s="5" customFormat="1">
      <x:c r="B83" s="12">
        <x:f>B82+1</x:f>
        <x:v>80</x:v>
      </x:c>
      <x:c r="C83" s="12"/>
      <x:c r="D83" s="12"/>
      <x:c r="E83" s="21"/>
      <x:c r="F83" s="12"/>
      <x:c r="G83" s="7"/>
    </x:row>
    <x:row r="84" spans="2:7" s="5" customFormat="1">
      <x:c r="B84" s="12">
        <x:f>B83+1</x:f>
        <x:v>81</x:v>
      </x:c>
      <x:c r="C84" s="12"/>
      <x:c r="D84" s="12"/>
      <x:c r="E84" s="21"/>
      <x:c r="F84" s="12"/>
      <x:c r="G84" s="7"/>
    </x:row>
    <x:row r="85" spans="2:7" s="5" customFormat="1">
      <x:c r="B85" s="12">
        <x:f>B84+1</x:f>
        <x:v>82</x:v>
      </x:c>
      <x:c r="C85" s="17"/>
      <x:c r="D85" s="17"/>
      <x:c r="E85" s="21"/>
      <x:c r="F85" s="12"/>
      <x:c r="G85" s="7"/>
    </x:row>
    <x:row r="86" spans="1:5">
      <x:c r="A86" s="5"/>
      <x:c r="B86" s="7" t="s">
        <x:v>22</x:v>
      </x:c>
      <x:c r="C86" s="15">
        <x:v>5175</x:v>
      </x:c>
      <x:c r="D86" s="15" t="s">
        <x:v>153</x:v>
      </x:c>
      <x:c r="E86" s="23"/>
    </x:row>
    <x:row r="87" spans="3:5">
      <x:c r="C87" s="7"/>
      <x:c r="D87" s="7"/>
      <x:c r="E87" s="25"/>
    </x:row>
    <x:row r="88" spans="3:5">
      <x:c r="C88" s="7"/>
      <x:c r="D88" s="7"/>
      <x:c r="E88" s="21"/>
    </x:row>
    <x:row r="89" spans="3:4">
      <x:c r="C89" s="7"/>
      <x:c r="D89" s="7"/>
    </x:row>
    <x:row r="90" spans="2:6">
      <x:c r="B90" s="28"/>
      <x:c r="C90" s="28"/>
      <x:c r="D90" s="29"/>
      <x:c r="E90" s="28"/>
      <x:c r="F90" s="30"/>
    </x:row>
    <x:row r="91" spans="4:4">
      <x:c r="D91" s="7"/>
    </x:row>
    <x:row r="95" spans="6:7">
      <x:c r="F95" s="24"/>
      <x:c r="G95" s="15"/>
    </x:row>
  </x:sheetData>
  <x:sortState columnSort="0" caseSensitive="0" ref="C4:E70">
    <x:sortCondition descending="0" sortBy="value" ref="C4:C70"/>
  </x:sortState>
  <x:mergeCells count="1">
    <x:mergeCell ref="B2:F2"/>
  </x:mergeCells>
  <x:pageMargins left="0.69972223043441772" right="0.69972223043441772" top="0.75" bottom="0.75" header="0.30000001192092896" footer="0.30000001192092896"/>
  <x:pageSetup paperSize="9" scale="100" firstPageNumber="1" fitToWidth="1" fitToHeight="1" orientation="portrait" usePrinterDefaults="1" blackAndWhite="0" draft="0" useFirstPageNumber="0" horizontalDpi="600" verticalDpi="600" copie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2"/>
  <x:dimension ref="A2:I10"/>
  <x:sheetViews>
    <x:sheetView topLeftCell="A1" zoomScaleNormal="100" zoomScaleSheetLayoutView="75" workbookViewId="0">
      <x:selection activeCell="E9" activeCellId="0" sqref="E9:E9"/>
    </x:sheetView>
  </x:sheetViews>
  <x:sheetFormatPr defaultColWidth="9.00390625" defaultRowHeight="16.399999999999999"/>
  <x:cols>
    <x:col min="1" max="1" width="2.625" style="130" customWidth="1"/>
    <x:col min="2" max="2" width="4.8046875" style="2" bestFit="1" customWidth="1"/>
    <x:col min="3" max="3" width="8.4765625" style="2" bestFit="1" customWidth="1"/>
    <x:col min="4" max="4" width="9.8671875" style="2" bestFit="1" customWidth="1"/>
    <x:col min="5" max="5" width="9" style="2" customWidth="1"/>
    <x:col min="6" max="6" width="2.75" style="2" customWidth="1"/>
    <x:col min="7" max="9" width="9" style="2" customWidth="1"/>
  </x:cols>
  <x:sheetData>
    <x:row r="2" spans="1:4">
      <x:c r="A2" s="2"/>
      <x:c r="B2" s="7" t="s">
        <x:v>103</x:v>
      </x:c>
      <x:c r="C2" s="7" t="s">
        <x:v>75</x:v>
      </x:c>
      <x:c r="D2" s="7" t="s">
        <x:v>8</x:v>
      </x:c>
    </x:row>
    <x:row r="3" spans="1:4">
      <x:c r="A3" s="2"/>
      <x:c r="B3" s="158">
        <x:v>27</x:v>
      </x:c>
      <x:c r="C3" s="157">
        <x:f>'1'!H37</x:f>
        <x:v>42000</x:v>
      </x:c>
      <x:c r="D3" s="157">
        <x:f>C3*B3</x:f>
        <x:v>1134000</x:v>
      </x:c>
    </x:row>
    <x:row r="4" spans="1:4">
      <x:c r="A4" s="2"/>
      <x:c r="B4" s="158">
        <x:v>28</x:v>
      </x:c>
      <x:c r="C4" s="157">
        <x:f>'2'!H37</x:f>
        <x:v>34200</x:v>
      </x:c>
      <x:c r="D4" s="157">
        <x:f>C4*B4</x:f>
        <x:v>957600</x:v>
      </x:c>
    </x:row>
    <x:row r="5" spans="1:4">
      <x:c r="A5" s="2"/>
      <x:c r="B5" s="158">
        <x:v>30</x:v>
      </x:c>
      <x:c r="C5" s="157">
        <x:f>'4'!H37</x:f>
        <x:v>125600</x:v>
      </x:c>
      <x:c r="D5" s="157">
        <x:f>C5*B5</x:f>
        <x:v>3768000</x:v>
      </x:c>
    </x:row>
    <x:row r="6" spans="1:4">
      <x:c r="A6" s="2"/>
      <x:c r="B6" s="158">
        <x:v>31</x:v>
      </x:c>
      <x:c r="C6" s="157">
        <x:f>'6'!H37</x:f>
        <x:v>92660</x:v>
      </x:c>
      <x:c r="D6" s="157">
        <x:f>C6*B6</x:f>
        <x:v>2872460</x:v>
      </x:c>
    </x:row>
    <x:row r="7" spans="1:9" s="1" customFormat="1">
      <x:c r="A7" s="2"/>
      <x:c r="B7" s="158"/>
      <x:c r="C7" s="157"/>
      <x:c r="D7" s="157"/>
      <x:c r="E7" s="2"/>
      <x:c r="F7" s="2"/>
      <x:c r="G7" s="2"/>
      <x:c r="H7" s="2"/>
      <x:c r="I7" s="2"/>
    </x:row>
    <x:row r="8" spans="1:5">
      <x:c r="A8" s="2"/>
      <x:c r="B8" s="157"/>
      <x:c r="C8" s="247" t="s">
        <x:v>91</x:v>
      </x:c>
      <x:c r="D8" s="247"/>
      <x:c r="E8" s="7" t="s">
        <x:v>103</x:v>
      </x:c>
    </x:row>
    <x:row r="9" spans="1:5">
      <x:c r="A9" s="2"/>
      <x:c r="B9" s="157"/>
      <x:c r="C9" s="157">
        <x:f>SUM(C3:C6)</x:f>
        <x:v>294460</x:v>
      </x:c>
      <x:c r="D9" s="157">
        <x:f>SUM(D3:D6)</x:f>
        <x:v>8732060</x:v>
      </x:c>
      <x:c r="E9" s="159">
        <x:f>D9/C9</x:f>
        <x:v>29.654486178088703</x:v>
      </x:c>
    </x:row>
    <x:row r="10" spans="1:1">
      <x:c r="A10" s="2"/>
    </x:row>
  </x:sheetData>
  <x:mergeCells count="1">
    <x:mergeCell ref="C8:D8"/>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25"/>
  <x:dimension ref="B2:K52"/>
  <x:sheetViews>
    <x:sheetView topLeftCell="A1" zoomScaleNormal="100" zoomScaleSheetLayoutView="75" workbookViewId="0">
      <x:selection activeCell="H35" activeCellId="0" sqref="H35:H35"/>
    </x:sheetView>
  </x:sheetViews>
  <x:sheetFormatPr defaultColWidth="9.00390625" defaultRowHeight="23.5"/>
  <x:cols>
    <x:col min="1" max="1" width="3.375" style="2" customWidth="1"/>
    <x:col min="2" max="2" width="5.3125" style="9" bestFit="1" customWidth="1"/>
    <x:col min="3" max="5" width="11.25" style="9" customWidth="1"/>
    <x:col min="6" max="6" width="3.25" style="141" customWidth="1"/>
    <x:col min="7" max="7" width="5.3125" style="9" bestFit="1" customWidth="1"/>
    <x:col min="8" max="10" width="11.25" style="9" customWidth="1"/>
  </x:cols>
  <x:sheetData>
    <x:row r="1" ht="16.5" customHeight="1"/>
    <x:row r="2" spans="2:10" ht="19.5" customHeight="1">
      <x:c r="B2" s="248" t="s">
        <x:v>184</x:v>
      </x:c>
      <x:c r="C2" s="248"/>
      <x:c r="D2" s="248"/>
      <x:c r="E2" s="248"/>
      <x:c r="F2" s="248"/>
      <x:c r="G2" s="248"/>
      <x:c r="H2" s="248"/>
      <x:c r="I2" s="248"/>
      <x:c r="J2" s="248"/>
    </x:row>
    <x:row r="3" ht="9.75" customHeight="1"/>
    <x:row r="4" spans="2:10" ht="19.25">
      <x:c r="B4" s="133" t="s">
        <x:v>105</x:v>
      </x:c>
      <x:c r="C4" s="133" t="s">
        <x:v>50</x:v>
      </x:c>
      <x:c r="D4" s="133" t="s">
        <x:v>4</x:v>
      </x:c>
      <x:c r="E4" s="133" t="s">
        <x:v>21</x:v>
      </x:c>
      <x:c r="F4" s="142"/>
      <x:c r="G4" s="133" t="s">
        <x:v>105</x:v>
      </x:c>
      <x:c r="H4" s="133" t="s">
        <x:v>50</x:v>
      </x:c>
      <x:c r="I4" s="133" t="s">
        <x:v>4</x:v>
      </x:c>
      <x:c r="J4" s="133" t="s">
        <x:v>21</x:v>
      </x:c>
    </x:row>
    <x:row r="5" spans="2:10" ht="16.5" customHeight="1">
      <x:c r="B5" s="133">
        <x:v>1</x:v>
      </x:c>
      <x:c r="C5" s="101"/>
      <x:c r="D5" s="103"/>
      <x:c r="E5" s="102"/>
      <x:c r="F5" s="131"/>
      <x:c r="G5" s="133">
        <x:v>26</x:v>
      </x:c>
      <x:c r="H5" s="101"/>
      <x:c r="I5" s="103"/>
      <x:c r="J5" s="102"/>
    </x:row>
    <x:row r="6" spans="2:10" ht="16.5" customHeight="1">
      <x:c r="B6" s="133">
        <x:f>B5+1</x:f>
        <x:v>2</x:v>
      </x:c>
      <x:c r="C6" s="101"/>
      <x:c r="D6" s="103"/>
      <x:c r="E6" s="102"/>
      <x:c r="F6" s="131"/>
      <x:c r="G6" s="133">
        <x:f>G5+1</x:f>
        <x:v>27</x:v>
      </x:c>
      <x:c r="H6" s="101"/>
      <x:c r="I6" s="103"/>
      <x:c r="J6" s="102"/>
    </x:row>
    <x:row r="7" spans="2:10" ht="16.5" customHeight="1">
      <x:c r="B7" s="133">
        <x:f>B6+1</x:f>
        <x:v>3</x:v>
      </x:c>
      <x:c r="C7" s="101"/>
      <x:c r="D7" s="103"/>
      <x:c r="E7" s="102"/>
      <x:c r="F7" s="131"/>
      <x:c r="G7" s="133">
        <x:f>G6+1</x:f>
        <x:v>28</x:v>
      </x:c>
      <x:c r="H7" s="101"/>
      <x:c r="I7" s="103"/>
      <x:c r="J7" s="102"/>
    </x:row>
    <x:row r="8" spans="2:10" ht="16.5" customHeight="1">
      <x:c r="B8" s="133">
        <x:f>B7+1</x:f>
        <x:v>4</x:v>
      </x:c>
      <x:c r="C8" s="101"/>
      <x:c r="D8" s="103"/>
      <x:c r="E8" s="102"/>
      <x:c r="F8" s="131"/>
      <x:c r="G8" s="133">
        <x:f>G7+1</x:f>
        <x:v>29</x:v>
      </x:c>
      <x:c r="H8" s="101"/>
      <x:c r="I8" s="103"/>
      <x:c r="J8" s="102"/>
    </x:row>
    <x:row r="9" spans="2:10" ht="16.5" customHeight="1">
      <x:c r="B9" s="133">
        <x:f>B8+1</x:f>
        <x:v>5</x:v>
      </x:c>
      <x:c r="C9" s="101"/>
      <x:c r="D9" s="103"/>
      <x:c r="E9" s="102"/>
      <x:c r="F9" s="131"/>
      <x:c r="G9" s="133">
        <x:f>G8+1</x:f>
        <x:v>30</x:v>
      </x:c>
      <x:c r="H9" s="101"/>
      <x:c r="I9" s="103"/>
      <x:c r="J9" s="102"/>
    </x:row>
    <x:row r="10" spans="2:10" ht="16.5" customHeight="1">
      <x:c r="B10" s="133">
        <x:f>B9+1</x:f>
        <x:v>6</x:v>
      </x:c>
      <x:c r="C10" s="101"/>
      <x:c r="D10" s="103"/>
      <x:c r="E10" s="102"/>
      <x:c r="F10" s="131"/>
      <x:c r="G10" s="133">
        <x:f>G9+1</x:f>
        <x:v>31</x:v>
      </x:c>
      <x:c r="H10" s="101"/>
      <x:c r="I10" s="103"/>
      <x:c r="J10" s="102"/>
    </x:row>
    <x:row r="11" spans="2:10" ht="16.5" customHeight="1">
      <x:c r="B11" s="133">
        <x:f>B10+1</x:f>
        <x:v>7</x:v>
      </x:c>
      <x:c r="C11" s="101"/>
      <x:c r="D11" s="103"/>
      <x:c r="E11" s="102"/>
      <x:c r="F11" s="131"/>
      <x:c r="G11" s="133">
        <x:f>G10+1</x:f>
        <x:v>32</x:v>
      </x:c>
      <x:c r="H11" s="101"/>
      <x:c r="I11" s="103"/>
      <x:c r="J11" s="102"/>
    </x:row>
    <x:row r="12" spans="2:10" ht="16.5" customHeight="1">
      <x:c r="B12" s="133">
        <x:f>B11+1</x:f>
        <x:v>8</x:v>
      </x:c>
      <x:c r="C12" s="101"/>
      <x:c r="D12" s="103"/>
      <x:c r="E12" s="102"/>
      <x:c r="F12" s="131"/>
      <x:c r="G12" s="133">
        <x:f>G11+1</x:f>
        <x:v>33</x:v>
      </x:c>
      <x:c r="H12" s="101"/>
      <x:c r="I12" s="103"/>
      <x:c r="J12" s="102"/>
    </x:row>
    <x:row r="13" spans="2:10" ht="16.5" customHeight="1">
      <x:c r="B13" s="133">
        <x:f>B12+1</x:f>
        <x:v>9</x:v>
      </x:c>
      <x:c r="C13" s="101"/>
      <x:c r="D13" s="103"/>
      <x:c r="E13" s="102"/>
      <x:c r="F13" s="131"/>
      <x:c r="G13" s="133">
        <x:f>G12+1</x:f>
        <x:v>34</x:v>
      </x:c>
      <x:c r="H13" s="101"/>
      <x:c r="I13" s="103"/>
      <x:c r="J13" s="102"/>
    </x:row>
    <x:row r="14" spans="2:10" ht="16.5" customHeight="1">
      <x:c r="B14" s="133">
        <x:f>B13+1</x:f>
        <x:v>10</x:v>
      </x:c>
      <x:c r="C14" s="101"/>
      <x:c r="D14" s="103"/>
      <x:c r="E14" s="102"/>
      <x:c r="F14" s="131"/>
      <x:c r="G14" s="133">
        <x:f>G13+1</x:f>
        <x:v>35</x:v>
      </x:c>
      <x:c r="H14" s="101"/>
      <x:c r="I14" s="103"/>
      <x:c r="J14" s="102"/>
    </x:row>
    <x:row r="15" spans="2:10" ht="16.5" customHeight="1">
      <x:c r="B15" s="133">
        <x:f>B14+1</x:f>
        <x:v>11</x:v>
      </x:c>
      <x:c r="C15" s="101"/>
      <x:c r="D15" s="103"/>
      <x:c r="E15" s="102"/>
      <x:c r="F15" s="131"/>
      <x:c r="G15" s="133">
        <x:f>G14+1</x:f>
        <x:v>36</x:v>
      </x:c>
      <x:c r="H15" s="101"/>
      <x:c r="I15" s="103"/>
      <x:c r="J15" s="102"/>
    </x:row>
    <x:row r="16" spans="2:10" ht="16.5" customHeight="1">
      <x:c r="B16" s="133">
        <x:f>B15+1</x:f>
        <x:v>12</x:v>
      </x:c>
      <x:c r="C16" s="101"/>
      <x:c r="D16" s="103"/>
      <x:c r="E16" s="102"/>
      <x:c r="F16" s="131"/>
      <x:c r="G16" s="133">
        <x:f>G15+1</x:f>
        <x:v>37</x:v>
      </x:c>
      <x:c r="H16" s="101"/>
      <x:c r="I16" s="103"/>
      <x:c r="J16" s="102"/>
    </x:row>
    <x:row r="17" spans="2:10" ht="16.5" customHeight="1">
      <x:c r="B17" s="133">
        <x:f>B16+1</x:f>
        <x:v>13</x:v>
      </x:c>
      <x:c r="C17" s="101"/>
      <x:c r="D17" s="103"/>
      <x:c r="E17" s="102"/>
      <x:c r="F17" s="131"/>
      <x:c r="G17" s="133">
        <x:f>G16+1</x:f>
        <x:v>38</x:v>
      </x:c>
      <x:c r="H17" s="101"/>
      <x:c r="I17" s="103"/>
      <x:c r="J17" s="102"/>
    </x:row>
    <x:row r="18" spans="2:10" ht="16.5" customHeight="1">
      <x:c r="B18" s="133">
        <x:f>B17+1</x:f>
        <x:v>14</x:v>
      </x:c>
      <x:c r="C18" s="101"/>
      <x:c r="D18" s="103"/>
      <x:c r="E18" s="102"/>
      <x:c r="F18" s="131"/>
      <x:c r="G18" s="133">
        <x:f>G17+1</x:f>
        <x:v>39</x:v>
      </x:c>
      <x:c r="H18" s="101"/>
      <x:c r="I18" s="103"/>
      <x:c r="J18" s="102"/>
    </x:row>
    <x:row r="19" spans="2:10" ht="16.5" customHeight="1">
      <x:c r="B19" s="133">
        <x:f>B18+1</x:f>
        <x:v>15</x:v>
      </x:c>
      <x:c r="C19" s="101"/>
      <x:c r="D19" s="103"/>
      <x:c r="E19" s="102"/>
      <x:c r="F19" s="131"/>
      <x:c r="G19" s="133">
        <x:f>G18+1</x:f>
        <x:v>40</x:v>
      </x:c>
      <x:c r="H19" s="101"/>
      <x:c r="I19" s="103"/>
      <x:c r="J19" s="102"/>
    </x:row>
    <x:row r="20" spans="2:10" ht="16.5" customHeight="1">
      <x:c r="B20" s="133">
        <x:f>B19+1</x:f>
        <x:v>16</x:v>
      </x:c>
      <x:c r="C20" s="101"/>
      <x:c r="D20" s="103"/>
      <x:c r="E20" s="102"/>
      <x:c r="F20" s="131"/>
      <x:c r="G20" s="133">
        <x:f>G19+1</x:f>
        <x:v>41</x:v>
      </x:c>
      <x:c r="H20" s="101"/>
      <x:c r="I20" s="103"/>
      <x:c r="J20" s="102"/>
    </x:row>
    <x:row r="21" spans="2:10" ht="16.5" customHeight="1">
      <x:c r="B21" s="133">
        <x:f>B20+1</x:f>
        <x:v>17</x:v>
      </x:c>
      <x:c r="C21" s="101"/>
      <x:c r="D21" s="103"/>
      <x:c r="E21" s="102"/>
      <x:c r="F21" s="131"/>
      <x:c r="G21" s="133">
        <x:f>G20+1</x:f>
        <x:v>42</x:v>
      </x:c>
      <x:c r="H21" s="101"/>
      <x:c r="I21" s="103"/>
      <x:c r="J21" s="102"/>
    </x:row>
    <x:row r="22" spans="2:10" ht="16.5" customHeight="1">
      <x:c r="B22" s="133">
        <x:f>B21+1</x:f>
        <x:v>18</x:v>
      </x:c>
      <x:c r="C22" s="101"/>
      <x:c r="D22" s="103"/>
      <x:c r="E22" s="102"/>
      <x:c r="F22" s="131"/>
      <x:c r="G22" s="133">
        <x:f>G21+1</x:f>
        <x:v>43</x:v>
      </x:c>
      <x:c r="H22" s="101"/>
      <x:c r="I22" s="103"/>
      <x:c r="J22" s="102"/>
    </x:row>
    <x:row r="23" spans="2:10" ht="16.5" customHeight="1">
      <x:c r="B23" s="133">
        <x:f>B22+1</x:f>
        <x:v>19</x:v>
      </x:c>
      <x:c r="C23" s="101"/>
      <x:c r="D23" s="103"/>
      <x:c r="E23" s="102"/>
      <x:c r="F23" s="131"/>
      <x:c r="G23" s="133">
        <x:f>G22+1</x:f>
        <x:v>44</x:v>
      </x:c>
      <x:c r="H23" s="101"/>
      <x:c r="I23" s="103"/>
      <x:c r="J23" s="102"/>
    </x:row>
    <x:row r="24" spans="2:10" ht="16.5" customHeight="1">
      <x:c r="B24" s="133">
        <x:f>B23+1</x:f>
        <x:v>20</x:v>
      </x:c>
      <x:c r="C24" s="101"/>
      <x:c r="D24" s="103"/>
      <x:c r="E24" s="102"/>
      <x:c r="F24" s="131"/>
      <x:c r="G24" s="133">
        <x:f>G23+1</x:f>
        <x:v>45</x:v>
      </x:c>
      <x:c r="H24" s="101"/>
      <x:c r="I24" s="103"/>
      <x:c r="J24" s="102"/>
    </x:row>
    <x:row r="25" spans="2:10" ht="16.5" customHeight="1">
      <x:c r="B25" s="133">
        <x:f>B24+1</x:f>
        <x:v>21</x:v>
      </x:c>
      <x:c r="C25" s="101"/>
      <x:c r="D25" s="103"/>
      <x:c r="E25" s="102"/>
      <x:c r="F25" s="131"/>
      <x:c r="G25" s="133">
        <x:f>G24+1</x:f>
        <x:v>46</x:v>
      </x:c>
      <x:c r="H25" s="101"/>
      <x:c r="I25" s="103"/>
      <x:c r="J25" s="102"/>
    </x:row>
    <x:row r="26" spans="2:10" ht="16.5" customHeight="1">
      <x:c r="B26" s="133">
        <x:f>B25+1</x:f>
        <x:v>22</x:v>
      </x:c>
      <x:c r="C26" s="101"/>
      <x:c r="D26" s="103"/>
      <x:c r="E26" s="102"/>
      <x:c r="F26" s="131"/>
      <x:c r="G26" s="133">
        <x:f>G25+1</x:f>
        <x:v>47</x:v>
      </x:c>
      <x:c r="H26" s="101"/>
      <x:c r="I26" s="103"/>
      <x:c r="J26" s="102"/>
    </x:row>
    <x:row r="27" spans="2:10" ht="16.5" customHeight="1">
      <x:c r="B27" s="133">
        <x:f>B26+1</x:f>
        <x:v>23</x:v>
      </x:c>
      <x:c r="C27" s="101"/>
      <x:c r="D27" s="103"/>
      <x:c r="E27" s="102"/>
      <x:c r="F27" s="131"/>
      <x:c r="G27" s="133">
        <x:f>G26+1</x:f>
        <x:v>48</x:v>
      </x:c>
      <x:c r="H27" s="101"/>
      <x:c r="I27" s="103"/>
      <x:c r="J27" s="102"/>
    </x:row>
    <x:row r="28" spans="2:10" ht="16.5" customHeight="1">
      <x:c r="B28" s="133">
        <x:f>B27+1</x:f>
        <x:v>24</x:v>
      </x:c>
      <x:c r="C28" s="101"/>
      <x:c r="D28" s="103"/>
      <x:c r="E28" s="102"/>
      <x:c r="F28" s="131"/>
      <x:c r="G28" s="133">
        <x:f>G27+1</x:f>
        <x:v>49</x:v>
      </x:c>
      <x:c r="H28" s="101"/>
      <x:c r="I28" s="103"/>
      <x:c r="J28" s="102"/>
    </x:row>
    <x:row r="29" spans="2:10" ht="16.5" customHeight="1">
      <x:c r="B29" s="133">
        <x:f>B28+1</x:f>
        <x:v>25</x:v>
      </x:c>
      <x:c r="C29" s="101"/>
      <x:c r="D29" s="102"/>
      <x:c r="E29" s="102"/>
      <x:c r="F29" s="131"/>
      <x:c r="G29" s="133">
        <x:f>G28+1</x:f>
        <x:v>50</x:v>
      </x:c>
      <x:c r="H29" s="101"/>
      <x:c r="I29" s="103"/>
      <x:c r="J29" s="102"/>
    </x:row>
    <x:row r="30" spans="2:10" s="149" customFormat="1" ht="10.5" customHeight="1">
      <x:c r="B30" s="90"/>
      <x:c r="C30" s="90"/>
      <x:c r="D30" s="90"/>
      <x:c r="E30" s="90"/>
      <x:c r="F30" s="109"/>
      <x:c r="G30" s="90"/>
      <x:c r="H30" s="90"/>
      <x:c r="I30" s="90"/>
      <x:c r="J30" s="90"/>
    </x:row>
    <x:row r="31" spans="2:11" s="149" customFormat="1" ht="19.5" customHeight="1">
      <x:c r="B31" s="101" t="s">
        <x:v>64</x:v>
      </x:c>
      <x:c r="C31" s="101" t="s">
        <x:v>75</x:v>
      </x:c>
      <x:c r="D31" s="101" t="s">
        <x:v>50</x:v>
      </x:c>
      <x:c r="E31" s="101" t="s">
        <x:v>21</x:v>
      </x:c>
      <x:c r="F31" s="109"/>
      <x:c r="G31" s="101" t="s">
        <x:v>64</x:v>
      </x:c>
      <x:c r="H31" s="101" t="s">
        <x:v>75</x:v>
      </x:c>
      <x:c r="I31" s="101" t="s">
        <x:v>50</x:v>
      </x:c>
      <x:c r="J31" s="101" t="s">
        <x:v>21</x:v>
      </x:c>
      <x:c r="K31" s="92"/>
    </x:row>
    <x:row r="32" spans="2:10" s="149" customFormat="1" ht="19.5" customHeight="1">
      <x:c r="B32" s="101">
        <x:v>1</x:v>
      </x:c>
      <x:c r="C32" s="102"/>
      <x:c r="D32" s="156" t="str">
        <x:f>IF(C32&lt;&gt;"",C32/$H$36,"")</x:f>
        <x:v/>
      </x:c>
      <x:c r="E32" s="101"/>
      <x:c r="F32" s="109"/>
      <x:c r="G32" s="101">
        <x:v>4</x:v>
      </x:c>
      <x:c r="H32" s="102"/>
      <x:c r="I32" s="156" t="str">
        <x:f>IF(H32&lt;&gt;"",H32/$H$36,"")</x:f>
        <x:v/>
      </x:c>
      <x:c r="J32" s="101"/>
    </x:row>
    <x:row r="33" spans="2:10" s="149" customFormat="1" ht="19.5" customHeight="1">
      <x:c r="B33" s="101">
        <x:v>2</x:v>
      </x:c>
      <x:c r="C33" s="102"/>
      <x:c r="D33" s="156" t="str">
        <x:f>IF(C33&lt;&gt;"",C33/$H$36,"")</x:f>
        <x:v/>
      </x:c>
      <x:c r="E33" s="101"/>
      <x:c r="F33" s="109"/>
      <x:c r="G33" s="101">
        <x:v>5</x:v>
      </x:c>
      <x:c r="H33" s="102"/>
      <x:c r="I33" s="156" t="str">
        <x:f>IF(H33&lt;&gt;"",H33/$H$36,"")</x:f>
        <x:v/>
      </x:c>
      <x:c r="J33" s="101"/>
    </x:row>
    <x:row r="34" spans="2:10" s="149" customFormat="1" ht="19.5" customHeight="1">
      <x:c r="B34" s="101">
        <x:v>3</x:v>
      </x:c>
      <x:c r="C34" s="102"/>
      <x:c r="D34" s="156" t="str">
        <x:f>IF(C34&lt;&gt;"",C34/$H$36,"")</x:f>
        <x:v/>
      </x:c>
      <x:c r="E34" s="101"/>
      <x:c r="F34" s="109"/>
      <x:c r="G34" s="101">
        <x:v>6</x:v>
      </x:c>
      <x:c r="H34" s="102"/>
      <x:c r="I34" s="156" t="str">
        <x:f>IF(H34&lt;&gt;"",H34/$H$36,"")</x:f>
        <x:v/>
      </x:c>
      <x:c r="J34" s="101"/>
    </x:row>
    <x:row r="35" spans="2:11" s="149" customFormat="1" ht="19.5" customHeight="1">
      <x:c r="B35" s="101">
        <x:v>7</x:v>
      </x:c>
      <x:c r="C35" s="102"/>
      <x:c r="D35" s="156" t="str">
        <x:f>IF(C35&lt;&gt;"",C35/$H$36,"")</x:f>
        <x:v/>
      </x:c>
      <x:c r="E35" s="101"/>
      <x:c r="F35" s="109"/>
      <x:c r="G35" s="101">
        <x:v>8</x:v>
      </x:c>
      <x:c r="H35" s="102"/>
      <x:c r="I35" s="156" t="str">
        <x:f>IF(H35&lt;&gt;"",H35/$H$36,"")</x:f>
        <x:v/>
      </x:c>
      <x:c r="J35" s="101"/>
      <x:c r="K35" s="90"/>
    </x:row>
    <x:row r="36" spans="2:11" s="149" customFormat="1" ht="19.5" customHeight="1">
      <x:c r="B36" s="154" t="s">
        <x:v>124</x:v>
      </x:c>
      <x:c r="C36" s="102">
        <x:f>SUM(C32:C35,H32:H35)</x:f>
        <x:v>0</x:v>
      </x:c>
      <x:c r="D36" s="156">
        <x:f>IF(C36&lt;&gt;"",C36/$H$36,"")</x:f>
        <x:v>0</x:v>
      </x:c>
      <x:c r="E36" s="155"/>
      <x:c r="F36" s="109"/>
      <x:c r="G36" s="155" t="s">
        <x:v>87</x:v>
      </x:c>
      <x:c r="H36" s="102">
        <x:v>2420</x:v>
      </x:c>
      <x:c r="I36" s="161"/>
      <x:c r="J36" s="155"/>
      <x:c r="K36" s="90"/>
    </x:row>
    <x:row r="37" spans="2:11" s="149" customFormat="1" ht="19.5" customHeight="1">
      <x:c r="B37" s="150"/>
      <x:c r="C37" s="150"/>
      <x:c r="D37" s="150"/>
      <x:c r="E37" s="150"/>
      <x:c r="F37" s="151"/>
      <x:c r="G37" s="150"/>
      <x:c r="H37" s="150"/>
      <x:c r="I37" s="150"/>
      <x:c r="J37" s="150"/>
      <x:c r="K37" s="90"/>
    </x:row>
    <x:row r="38" spans="2:10" s="149" customFormat="1" ht="19.5" customHeight="1">
      <x:c r="B38" s="150"/>
      <x:c r="C38" s="150"/>
      <x:c r="D38" s="150"/>
      <x:c r="E38" s="150"/>
      <x:c r="F38" s="151"/>
      <x:c r="G38" s="150"/>
      <x:c r="H38" s="150"/>
      <x:c r="I38" s="150"/>
      <x:c r="J38" s="150"/>
    </x:row>
    <x:row r="39" spans="2:10" s="149" customFormat="1" ht="19.5" customHeight="1">
      <x:c r="B39" s="150"/>
      <x:c r="C39" s="150"/>
      <x:c r="D39" s="150"/>
      <x:c r="E39" s="150"/>
      <x:c r="F39" s="151"/>
      <x:c r="G39" s="150"/>
      <x:c r="H39" s="150"/>
      <x:c r="I39" s="150"/>
      <x:c r="J39" s="150"/>
    </x:row>
    <x:row r="40" spans="2:10" s="149" customFormat="1" ht="19.5" customHeight="1">
      <x:c r="B40" s="150"/>
      <x:c r="C40" s="150"/>
      <x:c r="D40" s="150"/>
      <x:c r="E40" s="150"/>
      <x:c r="F40" s="151"/>
      <x:c r="G40" s="150"/>
      <x:c r="H40" s="150"/>
      <x:c r="I40" s="150"/>
      <x:c r="J40" s="150"/>
    </x:row>
    <x:row r="41" spans="2:10" s="149" customFormat="1" ht="19.5" customHeight="1">
      <x:c r="B41" s="150"/>
      <x:c r="C41" s="150"/>
      <x:c r="D41" s="150"/>
      <x:c r="E41" s="150"/>
      <x:c r="F41" s="151"/>
      <x:c r="G41" s="150"/>
      <x:c r="H41" s="150"/>
      <x:c r="I41" s="150"/>
      <x:c r="J41" s="150"/>
    </x:row>
    <x:row r="42" spans="2:10" s="149" customFormat="1" ht="19.5" customHeight="1">
      <x:c r="B42" s="150"/>
      <x:c r="C42" s="150"/>
      <x:c r="D42" s="150"/>
      <x:c r="E42" s="150"/>
      <x:c r="F42" s="151"/>
      <x:c r="G42" s="150"/>
      <x:c r="H42" s="150"/>
      <x:c r="I42" s="150"/>
      <x:c r="J42" s="150"/>
    </x:row>
    <x:row r="43" spans="2:10" s="149" customFormat="1" ht="19.5" customHeight="1">
      <x:c r="B43" s="150"/>
      <x:c r="C43" s="150"/>
      <x:c r="D43" s="150"/>
      <x:c r="E43" s="150"/>
      <x:c r="F43" s="151"/>
      <x:c r="G43" s="150"/>
      <x:c r="H43" s="150"/>
      <x:c r="I43" s="150"/>
      <x:c r="J43" s="150"/>
    </x:row>
    <x:row r="44" spans="2:10" s="149" customFormat="1" ht="19.5" customHeight="1">
      <x:c r="B44" s="150"/>
      <x:c r="C44" s="150"/>
      <x:c r="D44" s="150"/>
      <x:c r="E44" s="150"/>
      <x:c r="F44" s="151"/>
      <x:c r="G44" s="150"/>
      <x:c r="H44" s="150"/>
      <x:c r="I44" s="150"/>
      <x:c r="J44" s="150"/>
    </x:row>
    <x:row r="45" spans="2:10" s="149" customFormat="1" ht="19.5" customHeight="1">
      <x:c r="B45" s="150"/>
      <x:c r="C45" s="150"/>
      <x:c r="D45" s="150"/>
      <x:c r="E45" s="150"/>
      <x:c r="F45" s="151"/>
      <x:c r="G45" s="150"/>
      <x:c r="H45" s="150"/>
      <x:c r="I45" s="150"/>
      <x:c r="J45" s="150"/>
    </x:row>
    <x:row r="46" spans="2:10" s="149" customFormat="1" ht="19.5" customHeight="1">
      <x:c r="B46" s="150"/>
      <x:c r="C46" s="150"/>
      <x:c r="D46" s="150"/>
      <x:c r="E46" s="150"/>
      <x:c r="F46" s="151"/>
      <x:c r="G46" s="150"/>
      <x:c r="H46" s="150"/>
      <x:c r="I46" s="150"/>
      <x:c r="J46" s="150"/>
    </x:row>
    <x:row r="47" spans="2:10" s="149" customFormat="1" ht="19.5" customHeight="1">
      <x:c r="B47" s="150"/>
      <x:c r="C47" s="150"/>
      <x:c r="D47" s="150"/>
      <x:c r="E47" s="150"/>
      <x:c r="F47" s="151"/>
      <x:c r="G47" s="150"/>
      <x:c r="H47" s="150"/>
      <x:c r="I47" s="150"/>
      <x:c r="J47" s="150"/>
    </x:row>
    <x:row r="48" spans="2:10" s="149" customFormat="1" ht="19.5" customHeight="1">
      <x:c r="B48" s="150"/>
      <x:c r="C48" s="150"/>
      <x:c r="D48" s="150"/>
      <x:c r="E48" s="150"/>
      <x:c r="F48" s="151"/>
      <x:c r="G48" s="150"/>
      <x:c r="H48" s="150"/>
      <x:c r="I48" s="150"/>
      <x:c r="J48" s="150"/>
    </x:row>
    <x:row r="49" spans="2:10" s="149" customFormat="1" ht="19.5" customHeight="1">
      <x:c r="B49" s="150"/>
      <x:c r="C49" s="150"/>
      <x:c r="D49" s="150"/>
      <x:c r="E49" s="150"/>
      <x:c r="F49" s="151"/>
      <x:c r="G49" s="150"/>
      <x:c r="H49" s="150"/>
      <x:c r="I49" s="150"/>
      <x:c r="J49" s="150"/>
    </x:row>
    <x:row r="50" spans="2:10" s="149" customFormat="1" ht="19.5" customHeight="1">
      <x:c r="B50" s="150"/>
      <x:c r="C50" s="150"/>
      <x:c r="D50" s="150"/>
      <x:c r="E50" s="150"/>
      <x:c r="F50" s="151"/>
      <x:c r="G50" s="150"/>
      <x:c r="H50" s="150"/>
      <x:c r="I50" s="150"/>
      <x:c r="J50" s="150"/>
    </x:row>
    <x:row r="51" spans="6:10" s="149" customFormat="1" ht="19.5" customHeight="1">
      <x:c r="F51" s="151"/>
      <x:c r="G51" s="150"/>
      <x:c r="H51" s="150"/>
      <x:c r="I51" s="150"/>
      <x:c r="J51" s="150"/>
    </x:row>
    <x:row r="52" spans="6:10" s="149" customFormat="1" ht="19.5" customHeight="1">
      <x:c r="F52" s="151"/>
      <x:c r="G52" s="150"/>
      <x:c r="H52" s="150"/>
      <x:c r="I52" s="150"/>
      <x:c r="J52" s="150"/>
    </x:row>
    <x:row r="53" ht="19.5" customHeight="1"/>
    <x:row r="54" ht="19.5" customHeight="1"/>
    <x:row r="55" ht="19.5" customHeight="1"/>
    <x:row r="56" ht="19.5" customHeight="1"/>
    <x:row r="57" ht="19.5" customHeight="1"/>
    <x:row r="58" ht="19.5" customHeight="1"/>
    <x:row r="59" ht="19.5" customHeight="1"/>
    <x:row r="60" ht="19.5" customHeight="1"/>
    <x:row r="61" ht="19.5" customHeight="1"/>
    <x:row r="62" ht="19.5" customHeight="1"/>
    <x:row r="63" ht="19.5" customHeight="1"/>
    <x:row r="64" ht="19.5" customHeight="1"/>
    <x:row r="65" ht="19.5" customHeight="1"/>
    <x:row r="66" ht="19.5" customHeight="1"/>
    <x:row r="67" ht="19.5" customHeight="1"/>
    <x:row r="68" ht="19.5" customHeight="1"/>
    <x:row r="69" ht="19.5" customHeight="1"/>
    <x:row r="70" ht="19.5" customHeight="1"/>
    <x:row r="71" ht="19.5" customHeight="1"/>
    <x:row r="72" ht="19.5" customHeight="1"/>
    <x:row r="73" ht="19.5" customHeight="1"/>
    <x:row r="74" ht="19.5" customHeight="1"/>
    <x:row r="75" ht="19.5" customHeight="1"/>
    <x:row r="76" ht="19.5" customHeight="1"/>
    <x:row r="77" ht="19.5" customHeight="1"/>
    <x:row r="78" ht="19.5" customHeight="1"/>
    <x:row r="79" ht="19.5" customHeight="1"/>
    <x:row r="80" ht="19.5" customHeight="1"/>
    <x:row r="81" ht="19.5" customHeight="1"/>
    <x:row r="82" ht="19.5" customHeight="1"/>
    <x:row r="83" ht="19.5" customHeight="1"/>
    <x:row r="84" ht="19.5" customHeight="1"/>
    <x:row r="85" ht="19.5" customHeight="1"/>
    <x:row r="86" ht="19.5" customHeight="1"/>
    <x:row r="87" ht="19.5" customHeight="1"/>
    <x:row r="88" ht="19.5" customHeight="1"/>
    <x:row r="89" ht="19.5" customHeight="1"/>
    <x:row r="90" ht="19.5" customHeight="1"/>
    <x:row r="91" ht="19.5" customHeight="1"/>
    <x:row r="92" ht="19.5" customHeight="1"/>
    <x:row r="93" ht="19.5" customHeight="1"/>
    <x:row r="94" ht="19.5" customHeight="1"/>
    <x:row r="95" ht="19.5" customHeight="1"/>
    <x:row r="96" ht="19.5" customHeight="1"/>
    <x:row r="97" ht="19.5" customHeight="1"/>
    <x:row r="98" ht="19.5" customHeight="1"/>
    <x:row r="99" ht="19.5" customHeight="1"/>
    <x:row r="100" ht="19.5" customHeight="1"/>
    <x:row r="101" ht="19.5" customHeight="1"/>
    <x:row r="102" ht="19.5" customHeight="1"/>
    <x:row r="103" ht="19.5" customHeight="1"/>
    <x:row r="104" ht="19.5" customHeight="1"/>
    <x:row r="105" ht="19.5" customHeight="1"/>
    <x:row r="106" ht="19.5" customHeight="1"/>
    <x:row r="107" ht="19.5" customHeight="1"/>
    <x:row r="108" ht="19.5" customHeight="1"/>
    <x:row r="109" ht="19.5" customHeight="1"/>
    <x:row r="110" ht="19.5" customHeight="1"/>
    <x:row r="111" ht="19.5" customHeight="1"/>
    <x:row r="112" ht="19.5" customHeight="1"/>
    <x:row r="113" ht="19.5" customHeight="1"/>
    <x:row r="114" ht="19.5" customHeight="1"/>
    <x:row r="115" ht="19.5" customHeight="1"/>
    <x:row r="116" ht="19.5" customHeight="1"/>
    <x:row r="117" ht="19.5" customHeight="1"/>
    <x:row r="118" ht="19.5" customHeight="1"/>
    <x:row r="119" ht="19.5" customHeight="1"/>
    <x:row r="120" ht="19.5" customHeight="1"/>
    <x:row r="121" ht="19.5" customHeight="1"/>
    <x:row r="122" ht="19.5" customHeight="1"/>
    <x:row r="123" ht="19.5" customHeight="1"/>
    <x:row r="124" ht="19.5" customHeight="1"/>
    <x:row r="125" ht="19.5" customHeight="1"/>
    <x:row r="126" ht="19.5" customHeight="1"/>
    <x:row r="127" ht="19.5" customHeight="1"/>
    <x:row r="128" ht="19.5" customHeight="1"/>
    <x:row r="129" ht="19.5" customHeight="1"/>
    <x:row r="130" ht="19.5" customHeight="1"/>
    <x:row r="131" ht="19.5" customHeight="1"/>
    <x:row r="132" ht="19.5" customHeight="1"/>
    <x:row r="133" ht="19.5" customHeight="1"/>
    <x:row r="134" ht="19.5" customHeight="1"/>
    <x:row r="135" ht="19.5" customHeight="1"/>
    <x:row r="136" ht="19.5" customHeight="1"/>
    <x:row r="137" ht="19.5" customHeight="1"/>
    <x:row r="138" ht="19.5" customHeight="1"/>
    <x:row r="139" ht="19.5" customHeight="1"/>
    <x:row r="140" ht="19.5" customHeight="1"/>
    <x:row r="141" ht="19.5" customHeight="1"/>
    <x:row r="142" ht="19.5" customHeight="1"/>
    <x:row r="143" ht="19.5" customHeight="1"/>
    <x:row r="144" ht="19.5" customHeight="1"/>
    <x:row r="145" ht="19.5" customHeight="1"/>
    <x:row r="146" ht="19.5" customHeight="1"/>
    <x:row r="147" ht="19.5" customHeight="1"/>
    <x:row r="148" ht="19.5" customHeight="1"/>
    <x:row r="149" ht="19.5" customHeight="1"/>
    <x:row r="150" ht="19.5" customHeight="1"/>
    <x:row r="151" ht="19.5" customHeight="1"/>
    <x:row r="152" ht="19.5" customHeight="1"/>
    <x:row r="153" ht="19.5" customHeight="1"/>
    <x:row r="154" ht="19.5" customHeight="1"/>
    <x:row r="155" ht="19.5" customHeight="1"/>
    <x:row r="156" ht="19.5" customHeight="1"/>
    <x:row r="157" ht="19.5" customHeight="1"/>
    <x:row r="158" ht="19.5" customHeight="1"/>
    <x:row r="159" ht="19.5" customHeight="1"/>
    <x:row r="160" ht="19.5" customHeight="1"/>
    <x:row r="161" ht="19.5" customHeight="1"/>
    <x:row r="162" ht="19.5" customHeight="1"/>
    <x:row r="163" ht="19.5" customHeight="1"/>
    <x:row r="164" ht="19.5" customHeight="1"/>
    <x:row r="165" ht="19.5" customHeight="1"/>
    <x:row r="166" ht="19.5" customHeight="1"/>
    <x:row r="167" ht="19.5" customHeight="1"/>
    <x:row r="168" ht="19.5" customHeight="1"/>
    <x:row r="169" ht="19.5" customHeight="1"/>
    <x:row r="170" ht="19.5" customHeight="1"/>
    <x:row r="171" ht="19.5" customHeight="1"/>
    <x:row r="172" ht="19.5" customHeight="1"/>
    <x:row r="173" ht="19.5" customHeight="1"/>
    <x:row r="174" ht="19.5" customHeight="1"/>
    <x:row r="175" ht="19.5" customHeight="1"/>
    <x:row r="176" ht="19.5" customHeight="1"/>
    <x:row r="177" ht="19.5" customHeight="1"/>
    <x:row r="178" ht="19.5" customHeight="1"/>
    <x:row r="179" ht="19.5" customHeight="1"/>
    <x:row r="180" ht="19.5" customHeight="1"/>
    <x:row r="181" ht="19.5" customHeight="1"/>
    <x:row r="182" ht="19.5" customHeight="1"/>
    <x:row r="183" ht="19.5" customHeight="1"/>
    <x:row r="184" ht="19.5" customHeight="1"/>
    <x:row r="185" ht="19.5" customHeight="1"/>
    <x:row r="186" ht="19.5" customHeight="1"/>
    <x:row r="187" ht="19.5" customHeight="1"/>
    <x:row r="188" ht="19.5" customHeight="1"/>
    <x:row r="189" ht="19.5" customHeight="1"/>
    <x:row r="190" ht="19.5" customHeight="1"/>
    <x:row r="191" ht="19.5" customHeight="1"/>
    <x:row r="192" ht="19.5" customHeight="1"/>
    <x:row r="193" ht="19.5" customHeight="1"/>
    <x:row r="194" ht="19.5" customHeight="1"/>
    <x:row r="195" ht="19.5" customHeight="1"/>
    <x:row r="196" ht="19.5" customHeight="1"/>
    <x:row r="197" ht="19.5" customHeight="1"/>
    <x:row r="198" ht="19.5" customHeight="1"/>
    <x:row r="199" ht="19.5" customHeight="1"/>
    <x:row r="200" ht="19.5" customHeight="1"/>
    <x:row r="201" ht="19.5" customHeight="1"/>
    <x:row r="202" ht="19.5" customHeight="1"/>
    <x:row r="203" ht="19.5" customHeight="1"/>
    <x:row r="204" ht="19.5" customHeight="1"/>
    <x:row r="205" ht="19.5" customHeight="1"/>
    <x:row r="206" ht="19.5" customHeight="1"/>
    <x:row r="207" ht="19.5" customHeight="1"/>
    <x:row r="208" ht="19.5" customHeight="1"/>
    <x:row r="209" ht="19.5" customHeight="1"/>
    <x:row r="210" ht="19.5" customHeight="1"/>
    <x:row r="211" ht="19.5" customHeight="1"/>
    <x:row r="212" ht="19.5" customHeight="1"/>
    <x:row r="213" ht="19.5" customHeight="1"/>
    <x:row r="214" ht="19.5" customHeight="1"/>
    <x:row r="215" ht="19.5" customHeight="1"/>
    <x:row r="216" ht="19.5" customHeight="1"/>
    <x:row r="217" ht="19.5" customHeight="1"/>
    <x:row r="218" ht="19.5" customHeight="1"/>
    <x:row r="219" ht="19.5" customHeight="1"/>
    <x:row r="220" ht="19.5" customHeight="1"/>
    <x:row r="221" ht="19.5" customHeight="1"/>
    <x:row r="222" ht="19.5" customHeight="1"/>
    <x:row r="223" ht="19.5" customHeight="1"/>
    <x:row r="224" ht="19.5" customHeight="1"/>
    <x:row r="225" ht="19.5" customHeight="1"/>
    <x:row r="226" ht="19.5" customHeight="1"/>
    <x:row r="227" ht="19.5" customHeight="1"/>
    <x:row r="228" ht="19.5" customHeight="1"/>
    <x:row r="229" ht="19.5" customHeight="1"/>
    <x:row r="230" ht="19.5" customHeight="1"/>
    <x:row r="231" ht="19.5" customHeight="1"/>
    <x:row r="232" ht="19.5" customHeight="1"/>
    <x:row r="233" ht="19.5" customHeight="1"/>
    <x:row r="234" ht="19.5" customHeight="1"/>
    <x:row r="235" ht="19.5" customHeight="1"/>
    <x:row r="236" ht="19.5" customHeight="1"/>
    <x:row r="237" ht="19.5" customHeight="1"/>
    <x:row r="238" ht="19.5" customHeight="1"/>
    <x:row r="239" ht="19.5" customHeight="1"/>
    <x:row r="240" ht="19.5" customHeight="1"/>
    <x:row r="241" ht="19.5" customHeight="1"/>
    <x:row r="242" ht="19.5" customHeight="1"/>
    <x:row r="243" ht="19.5" customHeight="1"/>
    <x:row r="244" ht="19.5" customHeight="1"/>
    <x:row r="245" ht="19.5" customHeight="1"/>
    <x:row r="246" ht="19.5" customHeight="1"/>
    <x:row r="247" ht="19.5" customHeight="1"/>
    <x:row r="248" ht="19.5" customHeight="1"/>
    <x:row r="249" ht="19.5" customHeight="1"/>
    <x:row r="250" ht="19.5" customHeight="1"/>
    <x:row r="251" ht="19.5" customHeight="1"/>
    <x:row r="252" ht="19.5" customHeight="1"/>
    <x:row r="253" ht="19.5" customHeight="1"/>
    <x:row r="254" ht="19.5" customHeight="1"/>
    <x:row r="255" ht="19.5" customHeight="1"/>
    <x:row r="256" ht="19.5" customHeight="1"/>
    <x:row r="257" ht="19.5" customHeight="1"/>
    <x:row r="258" ht="19.5" customHeight="1"/>
    <x:row r="259" ht="19.5" customHeight="1"/>
    <x:row r="260" ht="19.5" customHeight="1"/>
    <x:row r="261" ht="19.5" customHeight="1"/>
    <x:row r="262" ht="19.5" customHeight="1"/>
    <x:row r="263" ht="19.5" customHeight="1"/>
    <x:row r="264" ht="19.5" customHeight="1"/>
    <x:row r="265" ht="19.5" customHeight="1"/>
    <x:row r="266" ht="19.5" customHeight="1"/>
    <x:row r="267" ht="19.5" customHeight="1"/>
    <x:row r="268" ht="19.5" customHeight="1"/>
    <x:row r="269" ht="19.5" customHeight="1"/>
    <x:row r="270" ht="19.5" customHeight="1"/>
    <x:row r="271" ht="19.5" customHeight="1"/>
    <x:row r="272" ht="19.5" customHeight="1"/>
    <x:row r="273" ht="19.5" customHeight="1"/>
    <x:row r="274" ht="19.5" customHeight="1"/>
    <x:row r="275" ht="19.5" customHeight="1"/>
    <x:row r="276" ht="19.5" customHeight="1"/>
    <x:row r="277" ht="19.5" customHeight="1"/>
    <x:row r="278" ht="19.5" customHeight="1"/>
    <x:row r="279" ht="19.5" customHeight="1"/>
    <x:row r="280" ht="19.5" customHeight="1"/>
    <x:row r="281" ht="19.5" customHeight="1"/>
    <x:row r="282" ht="19.5" customHeight="1"/>
    <x:row r="283" ht="19.5" customHeight="1"/>
    <x:row r="284" ht="19.5" customHeight="1"/>
    <x:row r="285" ht="19.5" customHeight="1"/>
    <x:row r="286" ht="19.5" customHeight="1"/>
    <x:row r="287" ht="19.5" customHeight="1"/>
    <x:row r="288" ht="19.5" customHeight="1"/>
    <x:row r="289" ht="19.5" customHeight="1"/>
    <x:row r="290" ht="19.5" customHeight="1"/>
    <x:row r="291" ht="19.5" customHeight="1"/>
    <x:row r="292" ht="19.5" customHeight="1"/>
    <x:row r="293" ht="19.5" customHeight="1"/>
    <x:row r="294" ht="19.5" customHeight="1"/>
    <x:row r="295" ht="19.5" customHeight="1"/>
    <x:row r="296" ht="19.5" customHeight="1"/>
    <x:row r="297" ht="19.5" customHeight="1"/>
    <x:row r="298" ht="19.5" customHeight="1"/>
    <x:row r="299" ht="19.5" customHeight="1"/>
    <x:row r="300" ht="19.5" customHeight="1"/>
    <x:row r="301" ht="19.5" customHeight="1"/>
    <x:row r="302" ht="19.5" customHeight="1"/>
    <x:row r="303" ht="19.5" customHeight="1"/>
    <x:row r="304" ht="19.5" customHeight="1"/>
    <x:row r="305" ht="19.5" customHeight="1"/>
    <x:row r="306" ht="19.5" customHeight="1"/>
    <x:row r="307" ht="19.5" customHeight="1"/>
    <x:row r="308" ht="19.5" customHeight="1"/>
    <x:row r="309" ht="19.5" customHeight="1"/>
    <x:row r="310" ht="19.5" customHeight="1"/>
    <x:row r="311" ht="19.5" customHeight="1"/>
    <x:row r="312" ht="19.5" customHeight="1"/>
    <x:row r="313" ht="19.5" customHeight="1"/>
    <x:row r="314" ht="19.5" customHeight="1"/>
    <x:row r="315" ht="19.5" customHeight="1"/>
    <x:row r="316" ht="19.5" customHeight="1"/>
    <x:row r="317" ht="19.5" customHeight="1"/>
    <x:row r="318" ht="19.5" customHeight="1"/>
    <x:row r="319" ht="19.5" customHeight="1"/>
    <x:row r="320" ht="19.5" customHeight="1"/>
    <x:row r="321" ht="19.5" customHeight="1"/>
    <x:row r="322" ht="19.5" customHeight="1"/>
    <x:row r="323" ht="19.5" customHeight="1"/>
    <x:row r="324" ht="19.5" customHeight="1"/>
    <x:row r="325" ht="19.5" customHeight="1"/>
    <x:row r="326" ht="19.5" customHeight="1"/>
    <x:row r="327" ht="19.5" customHeight="1"/>
    <x:row r="328" ht="19.5" customHeight="1"/>
    <x:row r="329" ht="19.5" customHeight="1"/>
    <x:row r="330" ht="19.5" customHeight="1"/>
    <x:row r="331" ht="19.5" customHeight="1"/>
    <x:row r="332" ht="19.5" customHeight="1"/>
    <x:row r="333" ht="19.5" customHeight="1"/>
    <x:row r="334" ht="19.5" customHeight="1"/>
    <x:row r="335" ht="19.5" customHeight="1"/>
    <x:row r="336" ht="19.5" customHeight="1"/>
    <x:row r="337" ht="19.5" customHeight="1"/>
    <x:row r="338" ht="19.5" customHeight="1"/>
    <x:row r="339" ht="19.5" customHeight="1"/>
    <x:row r="340" ht="19.5" customHeight="1"/>
    <x:row r="341" ht="19.5" customHeight="1"/>
    <x:row r="342" ht="19.5" customHeight="1"/>
    <x:row r="343" ht="19.5" customHeight="1"/>
    <x:row r="344" ht="19.5" customHeight="1"/>
    <x:row r="345" ht="19.5" customHeight="1"/>
    <x:row r="346" ht="19.5" customHeight="1"/>
    <x:row r="347" ht="19.5" customHeight="1"/>
    <x:row r="348" ht="19.5" customHeight="1"/>
    <x:row r="349" ht="19.5" customHeight="1"/>
    <x:row r="350" ht="19.5" customHeight="1"/>
    <x:row r="351" ht="19.5" customHeight="1"/>
    <x:row r="352" ht="19.5" customHeight="1"/>
    <x:row r="353" ht="19.5" customHeight="1"/>
  </x:sheetData>
  <x:mergeCells count="1">
    <x:mergeCell ref="B2:J2"/>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1" baseType="lpstr">
      <vt:lpstr>표지</vt:lpstr>
      <vt:lpstr>접종</vt:lpstr>
      <vt:lpstr>1</vt:lpstr>
      <vt:lpstr>2</vt:lpstr>
      <vt:lpstr>3</vt:lpstr>
      <vt:lpstr>4</vt:lpstr>
      <vt:lpstr>5</vt:lpstr>
      <vt:lpstr>6</vt:lpstr>
      <vt:lpstr>명단</vt:lpstr>
      <vt:lpstr>일령</vt:lpstr>
      <vt:lpstr>공차</vt:lpstr>
    </vt:vector>
  </ep:TitlesOfParts>
  <ep:TotalTime>60732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dc:creator>
  <cp:lastModifiedBy>공암산성</cp:lastModifiedBy>
  <cp:revision>7013</cp:revision>
  <cp:lastPrinted>2026-01-23T18:52:48.893</cp:lastPrinted>
  <dcterms:created xsi:type="dcterms:W3CDTF">2017-04-28T07:55:06.000</dcterms:created>
  <dcterms:modified xsi:type="dcterms:W3CDTF">2026-03-07T05:12:57.664</dcterms:modified>
  <cp:version>1100.0100.01</cp:version>
</cp:coreProperties>
</file>